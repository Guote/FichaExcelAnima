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ROL\Anima\Excel Development\Anima Combate\"/>
    </mc:Choice>
  </mc:AlternateContent>
  <bookViews>
    <workbookView xWindow="0" yWindow="0" windowWidth="20490" windowHeight="7755"/>
  </bookViews>
  <sheets>
    <sheet name="Personajes" sheetId="1" r:id="rId1"/>
    <sheet name="Configuracion" sheetId="2" r:id="rId2"/>
    <sheet name="Turnos" sheetId="4" r:id="rId3"/>
    <sheet name="Tablas" sheetId="3" r:id="rId4"/>
  </sheets>
  <functionGroups builtInGroupCount="18"/>
  <definedNames>
    <definedName name="FirstRow">Personajes!$B$3</definedName>
    <definedName name="ListaAliasConf">Configuracion!$F$4:$F$23</definedName>
    <definedName name="ListaAliasTurn">Turnos!$E$4:$E$23</definedName>
    <definedName name="ListaAtributos">Personajes!$B$2:$S$2</definedName>
    <definedName name="ListaAtributosConf">Configuracion!$AK$4:$AK$23</definedName>
    <definedName name="ListaBonoTurnoConf">Configuracion!$H$4:$H$23</definedName>
    <definedName name="ListaBonoTurnoTurn">Turnos!$G$4:$G$23</definedName>
    <definedName name="ListaBuenaSuerte">Configuracion!$AQ$4:$AQ$23</definedName>
    <definedName name="ListaCansancioConf">Configuracion!$L$4:$L$23</definedName>
    <definedName name="ListaCansancioTurn">Turnos!$K$4:$K$23</definedName>
    <definedName name="ListaCVsConf">Configuracion!$R$4:$R$23</definedName>
    <definedName name="ListaCVsTurn">Turnos!$Q$4:$Q$23</definedName>
    <definedName name="ListaDefensaTurn">Turnos!$T$4:$T$23</definedName>
    <definedName name="ListaDmgOtrosTurn">Turnos!$U$4:$U$23</definedName>
    <definedName name="ListaKiConf">Configuracion!$N$4:$N$23</definedName>
    <definedName name="ListaKiTurn">Turnos!$M$4:$M$23</definedName>
    <definedName name="ListaMalaSuerte">Configuracion!$AP$4:$AP$23</definedName>
    <definedName name="ListaMasaCaidosConf">Configuracion!$B$4:$B$23</definedName>
    <definedName name="ListaMasaTotalConf">Configuracion!$C$4:$C$23</definedName>
    <definedName name="ListaNotasConf">Configuracion!$I$4:$I$23</definedName>
    <definedName name="ListaNotasTurn">Turnos!$H$4:$H$23</definedName>
    <definedName name="ListaPjs">Tablas!$B$5</definedName>
    <definedName name="ListaPVsConf">Configuracion!$J$4:$J$23</definedName>
    <definedName name="ListaPVsTurn">Turnos!$I$4:$I$23</definedName>
    <definedName name="ListaResistenciasConf">Configuracion!$AL$4:$AL$23</definedName>
    <definedName name="ListaResumenTitles">Configuracion!$D$2:$V$2</definedName>
    <definedName name="ListaSecundariasConf">Configuracion!$AN$4:$AN$23</definedName>
    <definedName name="ListaSorprendido">Turnos!$Y$4:$Y$23</definedName>
    <definedName name="ListaSorpresa">Turnos!$X$4:$X$23</definedName>
    <definedName name="ListaTAConf">Configuracion!$AM$4:$AM$23</definedName>
    <definedName name="ListaUroboros">Configuracion!$AR$4:$AR$23</definedName>
    <definedName name="ListaZeonConf">Configuracion!$P$4:$P$23</definedName>
    <definedName name="ListaZeonTurn">Turnos!$O$4:$O$23</definedName>
    <definedName name="TablaArmasFull">Tablas!$B$6:$AF$6</definedName>
    <definedName name="TablaDmg">Tablas!$D$30:$Q$30</definedName>
    <definedName name="TablaDmgFull">Tablas!$C$30:$AT$30</definedName>
    <definedName name="TablaHA">Tablas!$D$18:$Q$18</definedName>
    <definedName name="TablaHAFull">Tablas!$C$18:$AT$18</definedName>
    <definedName name="TablaHD">Tablas!$D$24:$Q$24</definedName>
    <definedName name="TablaHDFull">Tablas!$C$24:$AF$24</definedName>
    <definedName name="TablaPjs">Personajes!$B$3:$S$3</definedName>
    <definedName name="TablaPjsResumen">Configuracion!$D$4:$V$23</definedName>
    <definedName name="TablaPjsResumenAlias">Configuracion!$F$4:$V$23</definedName>
    <definedName name="TablaPjsTurnos">Turnos!$C$4:$U$23</definedName>
    <definedName name="TablaResumen">Configuracion!$D$4:$V$22</definedName>
    <definedName name="TablasArmas">Tablas!$B$6:$C$6</definedName>
    <definedName name="TablaTurno">Tablas!$D$12:$Q$12</definedName>
    <definedName name="TablaTurnoFull">Tablas!$C$12:$AF$12</definedName>
    <definedName name="TitleAtributos">Personajes!$O$2</definedName>
    <definedName name="TitleCansancio">Personajes!$I$2</definedName>
    <definedName name="TitleCVs">Personajes!$L$2</definedName>
    <definedName name="TitleDamage">Personajes!$H$2</definedName>
    <definedName name="TitleDemage">Personajes!$H$2</definedName>
    <definedName name="TitleHA">Personajes!$F$2</definedName>
    <definedName name="TitleHD">Personajes!$G$2</definedName>
    <definedName name="TitleKi">Personajes!$J$2</definedName>
    <definedName name="TitleName">Personajes!$C$2</definedName>
    <definedName name="TitleNumber">Personajes!$B$2</definedName>
    <definedName name="TitleOriginalName">Personajes!$R$2</definedName>
    <definedName name="TitleOriginalNameCount">Personajes!$S$2</definedName>
    <definedName name="TitlePVs">Personajes!$D$2</definedName>
    <definedName name="TitleResistances">Personajes!$M$2</definedName>
    <definedName name="TitleSecondaries">Personajes!$Q$2</definedName>
    <definedName name="TitleTA">Personajes!$N$2</definedName>
    <definedName name="TitleTurn">Personajes!$E$2</definedName>
    <definedName name="TitleVentajas">Personajes!$P$2</definedName>
    <definedName name="TitleZeon">Personajes!$K$2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4" l="1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4" i="4"/>
  <c r="C30" i="3" l="1"/>
  <c r="R30" i="3"/>
  <c r="S30" i="3" s="1"/>
  <c r="T30" i="3" s="1"/>
  <c r="U30" i="3" s="1"/>
  <c r="V30" i="3" s="1"/>
  <c r="W30" i="3" s="1"/>
  <c r="X30" i="3" s="1"/>
  <c r="Y30" i="3" s="1"/>
  <c r="Z30" i="3" s="1"/>
  <c r="AA30" i="3" s="1"/>
  <c r="AB30" i="3" s="1"/>
  <c r="AC30" i="3" s="1"/>
  <c r="AD30" i="3" s="1"/>
  <c r="AE30" i="3" s="1"/>
  <c r="AF30" i="3" s="1"/>
  <c r="C24" i="3"/>
  <c r="R24" i="3"/>
  <c r="C18" i="3"/>
  <c r="R18" i="3"/>
  <c r="S18" i="3" s="1"/>
  <c r="T18" i="3" s="1"/>
  <c r="U18" i="3" s="1"/>
  <c r="V18" i="3" s="1"/>
  <c r="W18" i="3" s="1"/>
  <c r="X18" i="3" s="1"/>
  <c r="Y18" i="3" s="1"/>
  <c r="Z18" i="3" s="1"/>
  <c r="AA18" i="3" s="1"/>
  <c r="AB18" i="3" s="1"/>
  <c r="AC18" i="3" s="1"/>
  <c r="AD18" i="3" s="1"/>
  <c r="AE18" i="3" s="1"/>
  <c r="AF18" i="3" s="1"/>
  <c r="C12" i="3"/>
  <c r="R12" i="3"/>
  <c r="AS30" i="3" l="1"/>
  <c r="P30" i="3" s="1"/>
  <c r="AO30" i="3"/>
  <c r="L30" i="3" s="1"/>
  <c r="AK30" i="3"/>
  <c r="H30" i="3" s="1"/>
  <c r="AG30" i="3"/>
  <c r="D30" i="3" s="1"/>
  <c r="AR30" i="3"/>
  <c r="O30" i="3" s="1"/>
  <c r="AN30" i="3"/>
  <c r="K30" i="3" s="1"/>
  <c r="AJ30" i="3"/>
  <c r="G30" i="3" s="1"/>
  <c r="AP30" i="3"/>
  <c r="M30" i="3" s="1"/>
  <c r="AL30" i="3"/>
  <c r="I30" i="3" s="1"/>
  <c r="AH30" i="3"/>
  <c r="E30" i="3" s="1"/>
  <c r="AQ30" i="3"/>
  <c r="N30" i="3" s="1"/>
  <c r="AM30" i="3"/>
  <c r="J30" i="3" s="1"/>
  <c r="AI30" i="3"/>
  <c r="F30" i="3" s="1"/>
  <c r="S24" i="3"/>
  <c r="T24" i="3" s="1"/>
  <c r="U24" i="3" s="1"/>
  <c r="V24" i="3" s="1"/>
  <c r="W24" i="3" s="1"/>
  <c r="X24" i="3" s="1"/>
  <c r="Y24" i="3" s="1"/>
  <c r="Z24" i="3" s="1"/>
  <c r="AA24" i="3" s="1"/>
  <c r="AB24" i="3" s="1"/>
  <c r="AC24" i="3" s="1"/>
  <c r="AD24" i="3" s="1"/>
  <c r="AE24" i="3" s="1"/>
  <c r="AF24" i="3" s="1"/>
  <c r="Q24" i="3" s="1"/>
  <c r="AO18" i="3"/>
  <c r="L18" i="3" s="1"/>
  <c r="AK18" i="3"/>
  <c r="H18" i="3" s="1"/>
  <c r="AQ18" i="3"/>
  <c r="N18" i="3" s="1"/>
  <c r="AM18" i="3"/>
  <c r="J18" i="3" s="1"/>
  <c r="AI18" i="3"/>
  <c r="F18" i="3" s="1"/>
  <c r="AP18" i="3"/>
  <c r="M18" i="3" s="1"/>
  <c r="AL18" i="3"/>
  <c r="I18" i="3" s="1"/>
  <c r="AH18" i="3"/>
  <c r="E18" i="3" s="1"/>
  <c r="AS18" i="3"/>
  <c r="P18" i="3" s="1"/>
  <c r="AG18" i="3"/>
  <c r="D18" i="3" s="1"/>
  <c r="AR18" i="3"/>
  <c r="O18" i="3" s="1"/>
  <c r="AN18" i="3"/>
  <c r="K18" i="3" s="1"/>
  <c r="AJ18" i="3"/>
  <c r="G18" i="3" s="1"/>
  <c r="S12" i="3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Q12" i="3" s="1"/>
  <c r="AT30" i="3" l="1"/>
  <c r="Q30" i="3" s="1"/>
  <c r="I24" i="3"/>
  <c r="N24" i="3"/>
  <c r="O24" i="3"/>
  <c r="P24" i="3"/>
  <c r="M24" i="3"/>
  <c r="K24" i="3"/>
  <c r="L24" i="3"/>
  <c r="D24" i="3"/>
  <c r="J24" i="3"/>
  <c r="H24" i="3"/>
  <c r="E24" i="3"/>
  <c r="F24" i="3"/>
  <c r="G24" i="3"/>
  <c r="AT18" i="3"/>
  <c r="Q18" i="3" s="1"/>
  <c r="D12" i="3"/>
  <c r="E12" i="3"/>
  <c r="F12" i="3"/>
  <c r="K12" i="3"/>
  <c r="H12" i="3"/>
  <c r="I12" i="3"/>
  <c r="J12" i="3"/>
  <c r="O12" i="3"/>
  <c r="L12" i="3"/>
  <c r="M12" i="3"/>
  <c r="N12" i="3"/>
  <c r="P12" i="3"/>
  <c r="G12" i="3"/>
  <c r="B6" i="3"/>
  <c r="X10" i="2"/>
  <c r="X12" i="2"/>
  <c r="X21" i="2"/>
  <c r="X4" i="2"/>
  <c r="X7" i="2"/>
  <c r="X15" i="2"/>
  <c r="X16" i="2"/>
  <c r="X8" i="2"/>
  <c r="X5" i="2"/>
  <c r="X11" i="2"/>
  <c r="X9" i="2"/>
  <c r="X22" i="2"/>
  <c r="X17" i="2"/>
  <c r="X13" i="2"/>
  <c r="X6" i="2"/>
  <c r="X23" i="2"/>
  <c r="X19" i="2"/>
  <c r="X14" i="2"/>
  <c r="X20" i="2"/>
  <c r="X18" i="2"/>
  <c r="AN17" i="2" l="1"/>
  <c r="AN20" i="2"/>
  <c r="AN9" i="2"/>
  <c r="AN12" i="2"/>
  <c r="AN5" i="2"/>
  <c r="AN18" i="2"/>
  <c r="AN19" i="2"/>
  <c r="AN7" i="2"/>
  <c r="AN16" i="2"/>
  <c r="AN8" i="2"/>
  <c r="AN6" i="2"/>
  <c r="AN10" i="2"/>
  <c r="AN11" i="2"/>
  <c r="AN23" i="2"/>
  <c r="AN14" i="2"/>
  <c r="AN22" i="2"/>
  <c r="AN15" i="2"/>
  <c r="AN13" i="2"/>
  <c r="AN21" i="2"/>
  <c r="AN4" i="2"/>
  <c r="AM16" i="2"/>
  <c r="AM6" i="2"/>
  <c r="AM12" i="2"/>
  <c r="AM11" i="2"/>
  <c r="AM17" i="2"/>
  <c r="AM5" i="2"/>
  <c r="AM23" i="2"/>
  <c r="AM8" i="2"/>
  <c r="AM9" i="2"/>
  <c r="AM18" i="2"/>
  <c r="AM14" i="2"/>
  <c r="AM20" i="2"/>
  <c r="AM10" i="2"/>
  <c r="AM19" i="2"/>
  <c r="AM22" i="2"/>
  <c r="AM13" i="2"/>
  <c r="AM21" i="2"/>
  <c r="AM7" i="2"/>
  <c r="AM15" i="2"/>
  <c r="AL16" i="2"/>
  <c r="AL6" i="2"/>
  <c r="AL12" i="2"/>
  <c r="AL11" i="2"/>
  <c r="AL17" i="2"/>
  <c r="AL5" i="2"/>
  <c r="AL23" i="2"/>
  <c r="AL8" i="2"/>
  <c r="AL9" i="2"/>
  <c r="AL18" i="2"/>
  <c r="AL14" i="2"/>
  <c r="AL20" i="2"/>
  <c r="AL10" i="2"/>
  <c r="AL19" i="2"/>
  <c r="AL22" i="2"/>
  <c r="AL13" i="2"/>
  <c r="AL21" i="2"/>
  <c r="AL7" i="2"/>
  <c r="AL15" i="2"/>
  <c r="AL4" i="2"/>
  <c r="AM4" i="2"/>
  <c r="AK16" i="2"/>
  <c r="AK6" i="2"/>
  <c r="AK12" i="2"/>
  <c r="AK11" i="2"/>
  <c r="AK17" i="2"/>
  <c r="AK5" i="2"/>
  <c r="AK23" i="2"/>
  <c r="AK8" i="2"/>
  <c r="AK9" i="2"/>
  <c r="AK18" i="2"/>
  <c r="AK14" i="2"/>
  <c r="AK20" i="2"/>
  <c r="AK10" i="2"/>
  <c r="AK19" i="2"/>
  <c r="AK22" i="2"/>
  <c r="AK13" i="2"/>
  <c r="AK21" i="2"/>
  <c r="AK7" i="2"/>
  <c r="AK15" i="2"/>
  <c r="AK4" i="2"/>
  <c r="Z5" i="2"/>
  <c r="Z13" i="2"/>
  <c r="Z17" i="2"/>
  <c r="Z14" i="2"/>
  <c r="Z18" i="2"/>
  <c r="Z22" i="2"/>
  <c r="Z11" i="2"/>
  <c r="Z15" i="2"/>
  <c r="Z19" i="2"/>
  <c r="Z23" i="2"/>
  <c r="Z12" i="2"/>
  <c r="Z16" i="2"/>
  <c r="Z20" i="2"/>
  <c r="Z21" i="2"/>
  <c r="R6" i="3"/>
  <c r="S6" i="3" l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Q6" i="3" s="1"/>
  <c r="B13" i="2"/>
  <c r="B14" i="2"/>
  <c r="B15" i="2"/>
  <c r="B16" i="2"/>
  <c r="B17" i="2"/>
  <c r="B18" i="2"/>
  <c r="B19" i="2"/>
  <c r="B20" i="2"/>
  <c r="B21" i="2"/>
  <c r="B22" i="2"/>
  <c r="B23" i="2"/>
  <c r="D6" i="3" l="1"/>
  <c r="F6" i="3"/>
  <c r="K6" i="3"/>
  <c r="H6" i="3"/>
  <c r="I6" i="3"/>
  <c r="J6" i="3"/>
  <c r="E6" i="3"/>
  <c r="O6" i="3"/>
  <c r="L6" i="3"/>
  <c r="M6" i="3"/>
  <c r="N6" i="3"/>
  <c r="P6" i="3"/>
  <c r="G6" i="3"/>
  <c r="C6" i="3" l="1"/>
  <c r="Z5" i="4"/>
  <c r="AA5" i="4" s="1"/>
  <c r="Z6" i="4"/>
  <c r="AA6" i="4" s="1"/>
  <c r="Z7" i="4"/>
  <c r="AA7" i="4" s="1"/>
  <c r="Z8" i="4"/>
  <c r="AA8" i="4" s="1"/>
  <c r="Z9" i="4"/>
  <c r="AA9" i="4" s="1"/>
  <c r="Z10" i="4"/>
  <c r="AA10" i="4" s="1"/>
  <c r="Z11" i="4"/>
  <c r="AA11" i="4" s="1"/>
  <c r="Z12" i="4"/>
  <c r="AA12" i="4" s="1"/>
  <c r="Z13" i="4"/>
  <c r="AA13" i="4" s="1"/>
  <c r="Z14" i="4"/>
  <c r="AA14" i="4" s="1"/>
  <c r="Z15" i="4"/>
  <c r="AA15" i="4" s="1"/>
  <c r="Z16" i="4"/>
  <c r="AA16" i="4" s="1"/>
  <c r="Z17" i="4"/>
  <c r="AA17" i="4" s="1"/>
  <c r="Z18" i="4"/>
  <c r="AA18" i="4" s="1"/>
  <c r="Z19" i="4"/>
  <c r="AA19" i="4" s="1"/>
  <c r="Z20" i="4"/>
  <c r="AA20" i="4" s="1"/>
  <c r="Z21" i="4"/>
  <c r="AA21" i="4" s="1"/>
  <c r="Z22" i="4"/>
  <c r="AA22" i="4" s="1"/>
  <c r="Z23" i="4"/>
  <c r="AA23" i="4" s="1"/>
  <c r="Z4" i="4"/>
  <c r="AA4" i="4" s="1"/>
  <c r="Z6" i="2" l="1"/>
  <c r="Z9" i="2"/>
  <c r="Z10" i="2"/>
  <c r="Z7" i="2"/>
  <c r="Z8" i="2"/>
  <c r="AA23" i="2"/>
  <c r="AB23" i="2" s="1"/>
  <c r="AO23" i="2" l="1"/>
  <c r="Q23" i="2"/>
  <c r="O23" i="2"/>
  <c r="M23" i="2"/>
  <c r="S23" i="2"/>
  <c r="AA13" i="2"/>
  <c r="AB13" i="2" s="1"/>
  <c r="AA14" i="2"/>
  <c r="AB14" i="2" s="1"/>
  <c r="AA15" i="2"/>
  <c r="AB15" i="2" s="1"/>
  <c r="AA16" i="2"/>
  <c r="AB16" i="2" s="1"/>
  <c r="AA17" i="2"/>
  <c r="AB17" i="2" s="1"/>
  <c r="AA18" i="2"/>
  <c r="AB18" i="2" s="1"/>
  <c r="AA19" i="2"/>
  <c r="AB19" i="2" s="1"/>
  <c r="AA20" i="2"/>
  <c r="AB20" i="2" s="1"/>
  <c r="AA21" i="2"/>
  <c r="AB21" i="2" s="1"/>
  <c r="AA22" i="2"/>
  <c r="AB22" i="2" s="1"/>
  <c r="AP23" i="2" l="1"/>
  <c r="AR23" i="2"/>
  <c r="AQ23" i="2"/>
  <c r="AO22" i="2"/>
  <c r="AO18" i="2"/>
  <c r="AO14" i="2"/>
  <c r="AO21" i="2"/>
  <c r="AO17" i="2"/>
  <c r="AO20" i="2"/>
  <c r="AO16" i="2"/>
  <c r="AO19" i="2"/>
  <c r="AO15" i="2"/>
  <c r="AO13" i="2"/>
  <c r="Q20" i="2"/>
  <c r="Q16" i="2"/>
  <c r="Q22" i="2"/>
  <c r="Q18" i="2"/>
  <c r="Q14" i="2"/>
  <c r="Q21" i="2"/>
  <c r="Q19" i="2"/>
  <c r="Q17" i="2"/>
  <c r="Q15" i="2"/>
  <c r="Q13" i="2"/>
  <c r="O22" i="2"/>
  <c r="O21" i="2"/>
  <c r="O20" i="2"/>
  <c r="O19" i="2"/>
  <c r="O18" i="2"/>
  <c r="O17" i="2"/>
  <c r="O16" i="2"/>
  <c r="O15" i="2"/>
  <c r="O14" i="2"/>
  <c r="O13" i="2"/>
  <c r="M21" i="2"/>
  <c r="M20" i="2"/>
  <c r="M19" i="2"/>
  <c r="M18" i="2"/>
  <c r="M17" i="2"/>
  <c r="M16" i="2"/>
  <c r="M15" i="2"/>
  <c r="M14" i="2"/>
  <c r="M13" i="2"/>
  <c r="M22" i="2"/>
  <c r="S22" i="2"/>
  <c r="S21" i="2"/>
  <c r="S20" i="2"/>
  <c r="S19" i="2"/>
  <c r="S18" i="2"/>
  <c r="S17" i="2"/>
  <c r="S16" i="2"/>
  <c r="S15" i="2"/>
  <c r="S14" i="2"/>
  <c r="S13" i="2"/>
  <c r="AA12" i="2"/>
  <c r="AO9" i="2" l="1"/>
  <c r="AQ9" i="2" s="1"/>
  <c r="AA9" i="2"/>
  <c r="AO5" i="2"/>
  <c r="AP5" i="2" s="1"/>
  <c r="AA5" i="2"/>
  <c r="AO8" i="2"/>
  <c r="AR8" i="2" s="1"/>
  <c r="AA8" i="2"/>
  <c r="AO6" i="2"/>
  <c r="AQ6" i="2" s="1"/>
  <c r="AA6" i="2"/>
  <c r="AO7" i="2"/>
  <c r="AR7" i="2" s="1"/>
  <c r="AA7" i="2"/>
  <c r="AO11" i="2"/>
  <c r="AQ11" i="2" s="1"/>
  <c r="AA11" i="2"/>
  <c r="AO10" i="2"/>
  <c r="AQ10" i="2" s="1"/>
  <c r="AA10" i="2"/>
  <c r="AP20" i="2"/>
  <c r="AR20" i="2"/>
  <c r="AQ20" i="2"/>
  <c r="AP18" i="2"/>
  <c r="AR18" i="2"/>
  <c r="AQ18" i="2"/>
  <c r="AO12" i="2"/>
  <c r="AP19" i="2"/>
  <c r="AQ19" i="2"/>
  <c r="AR19" i="2"/>
  <c r="AP21" i="2"/>
  <c r="AR21" i="2"/>
  <c r="AQ21" i="2"/>
  <c r="AP15" i="2"/>
  <c r="AR15" i="2"/>
  <c r="AQ15" i="2"/>
  <c r="AP16" i="2"/>
  <c r="AR16" i="2"/>
  <c r="AQ16" i="2"/>
  <c r="AP17" i="2"/>
  <c r="AQ17" i="2"/>
  <c r="AR17" i="2"/>
  <c r="AP14" i="2"/>
  <c r="AQ14" i="2"/>
  <c r="AR14" i="2"/>
  <c r="AP22" i="2"/>
  <c r="AR22" i="2"/>
  <c r="AQ22" i="2"/>
  <c r="AP13" i="2"/>
  <c r="AQ13" i="2"/>
  <c r="AR13" i="2"/>
  <c r="M5" i="2"/>
  <c r="S5" i="2"/>
  <c r="Q5" i="2"/>
  <c r="O5" i="2"/>
  <c r="Q6" i="2"/>
  <c r="O6" i="2"/>
  <c r="M6" i="2"/>
  <c r="S6" i="2"/>
  <c r="M12" i="2"/>
  <c r="S12" i="2"/>
  <c r="Q12" i="2"/>
  <c r="O12" i="2"/>
  <c r="S8" i="2"/>
  <c r="Q8" i="2"/>
  <c r="O8" i="2"/>
  <c r="M8" i="2"/>
  <c r="Q10" i="2"/>
  <c r="O10" i="2"/>
  <c r="M10" i="2"/>
  <c r="S10" i="2"/>
  <c r="Q9" i="2"/>
  <c r="M9" i="2"/>
  <c r="S9" i="2"/>
  <c r="O9" i="2"/>
  <c r="Q11" i="2"/>
  <c r="O11" i="2"/>
  <c r="M11" i="2"/>
  <c r="S11" i="2"/>
  <c r="Q7" i="2"/>
  <c r="O7" i="2"/>
  <c r="M7" i="2"/>
  <c r="S7" i="2"/>
  <c r="Z4" i="2" l="1"/>
  <c r="AP9" i="2"/>
  <c r="AP8" i="2"/>
  <c r="AR9" i="2"/>
  <c r="AP6" i="2"/>
  <c r="AQ8" i="2"/>
  <c r="AP10" i="2"/>
  <c r="AR6" i="2"/>
  <c r="AP7" i="2"/>
  <c r="AQ7" i="2"/>
  <c r="AR5" i="2"/>
  <c r="AQ5" i="2"/>
  <c r="AP11" i="2"/>
  <c r="AR10" i="2"/>
  <c r="AR11" i="2"/>
  <c r="AP12" i="2"/>
  <c r="AR12" i="2"/>
  <c r="AQ12" i="2"/>
  <c r="AO4" i="2" l="1"/>
  <c r="AP4" i="2" s="1"/>
  <c r="AA4" i="2"/>
  <c r="O4" i="2"/>
  <c r="M4" i="2"/>
  <c r="S4" i="2"/>
  <c r="Q4" i="2"/>
  <c r="AR4" i="2" l="1"/>
  <c r="AQ4" i="2"/>
  <c r="Y14" i="2"/>
  <c r="Y23" i="2"/>
  <c r="Y21" i="2"/>
  <c r="Y22" i="2"/>
  <c r="AI21" i="2" l="1"/>
  <c r="AI14" i="2"/>
  <c r="AI22" i="2"/>
  <c r="AI23" i="2"/>
  <c r="U23" i="2"/>
  <c r="AC23" i="2" s="1"/>
  <c r="T23" i="2"/>
  <c r="G23" i="2"/>
  <c r="G22" i="2"/>
  <c r="U22" i="2"/>
  <c r="AC22" i="2" s="1"/>
  <c r="T22" i="2"/>
  <c r="U21" i="2"/>
  <c r="AC21" i="2" s="1"/>
  <c r="T21" i="2"/>
  <c r="G21" i="2"/>
  <c r="U14" i="2"/>
  <c r="AC14" i="2" s="1"/>
  <c r="G14" i="2"/>
  <c r="T14" i="2"/>
  <c r="Y18" i="2"/>
  <c r="Y16" i="2"/>
  <c r="Y12" i="2"/>
  <c r="Y20" i="2"/>
  <c r="Y13" i="2"/>
  <c r="Y19" i="2"/>
  <c r="Y5" i="2"/>
  <c r="Y17" i="2"/>
  <c r="Y15" i="2"/>
  <c r="AU23" i="2" l="1"/>
  <c r="AV23" i="2"/>
  <c r="AU22" i="2"/>
  <c r="AV22" i="2"/>
  <c r="AU14" i="2"/>
  <c r="AV14" i="2"/>
  <c r="AU21" i="2"/>
  <c r="AV21" i="2"/>
  <c r="AJ23" i="2"/>
  <c r="V23" i="2" s="1"/>
  <c r="AS23" i="2"/>
  <c r="AJ22" i="2"/>
  <c r="V22" i="2" s="1"/>
  <c r="AS22" i="2"/>
  <c r="AJ14" i="2"/>
  <c r="V14" i="2" s="1"/>
  <c r="AS14" i="2"/>
  <c r="AJ21" i="2"/>
  <c r="V21" i="2" s="1"/>
  <c r="AS21" i="2"/>
  <c r="AG14" i="2"/>
  <c r="AF14" i="2"/>
  <c r="AH14" i="2" s="1"/>
  <c r="AG21" i="2"/>
  <c r="AF21" i="2"/>
  <c r="AH21" i="2" s="1"/>
  <c r="AG22" i="2"/>
  <c r="AF22" i="2"/>
  <c r="AH22" i="2" s="1"/>
  <c r="AG23" i="2"/>
  <c r="AF23" i="2"/>
  <c r="AH23" i="2" s="1"/>
  <c r="AD14" i="2"/>
  <c r="AD21" i="2"/>
  <c r="AD22" i="2"/>
  <c r="AD23" i="2"/>
  <c r="AT23" i="2"/>
  <c r="AT22" i="2"/>
  <c r="AT14" i="2"/>
  <c r="AT21" i="2"/>
  <c r="AI18" i="2"/>
  <c r="AI19" i="2"/>
  <c r="AI16" i="2"/>
  <c r="AI13" i="2"/>
  <c r="AI12" i="2"/>
  <c r="AV12" i="2" s="1"/>
  <c r="AI20" i="2"/>
  <c r="AI5" i="2"/>
  <c r="AI17" i="2"/>
  <c r="AI15" i="2"/>
  <c r="U16" i="2"/>
  <c r="AC16" i="2" s="1"/>
  <c r="G16" i="2"/>
  <c r="T16" i="2"/>
  <c r="U19" i="2"/>
  <c r="AC19" i="2" s="1"/>
  <c r="T19" i="2"/>
  <c r="G19" i="2"/>
  <c r="G12" i="2"/>
  <c r="U12" i="2"/>
  <c r="T12" i="2"/>
  <c r="T13" i="2"/>
  <c r="U13" i="2"/>
  <c r="AC13" i="2" s="1"/>
  <c r="G13" i="2"/>
  <c r="G18" i="2"/>
  <c r="U18" i="2"/>
  <c r="AC18" i="2" s="1"/>
  <c r="T18" i="2"/>
  <c r="U20" i="2"/>
  <c r="AC20" i="2" s="1"/>
  <c r="G20" i="2"/>
  <c r="T20" i="2"/>
  <c r="U15" i="2"/>
  <c r="AC15" i="2" s="1"/>
  <c r="T15" i="2"/>
  <c r="G15" i="2"/>
  <c r="T17" i="2"/>
  <c r="U17" i="2"/>
  <c r="AC17" i="2" s="1"/>
  <c r="G17" i="2"/>
  <c r="T5" i="2"/>
  <c r="U5" i="2"/>
  <c r="G5" i="2"/>
  <c r="Y9" i="2"/>
  <c r="Y4" i="2"/>
  <c r="Y8" i="2"/>
  <c r="Y10" i="2"/>
  <c r="AU13" i="2" l="1"/>
  <c r="AV13" i="2"/>
  <c r="AU5" i="2"/>
  <c r="AV5" i="2"/>
  <c r="AU16" i="2"/>
  <c r="AV16" i="2"/>
  <c r="AU17" i="2"/>
  <c r="AV17" i="2"/>
  <c r="AU20" i="2"/>
  <c r="AV20" i="2"/>
  <c r="AU19" i="2"/>
  <c r="AV19" i="2"/>
  <c r="AU15" i="2"/>
  <c r="AV15" i="2"/>
  <c r="AU18" i="2"/>
  <c r="AV18" i="2"/>
  <c r="AS12" i="2"/>
  <c r="AU12" i="2"/>
  <c r="AJ17" i="2"/>
  <c r="V17" i="2" s="1"/>
  <c r="AS17" i="2"/>
  <c r="AS5" i="2"/>
  <c r="AJ16" i="2"/>
  <c r="V16" i="2" s="1"/>
  <c r="AS16" i="2"/>
  <c r="AJ13" i="2"/>
  <c r="V13" i="2" s="1"/>
  <c r="AS13" i="2"/>
  <c r="AJ20" i="2"/>
  <c r="V20" i="2" s="1"/>
  <c r="AS20" i="2"/>
  <c r="AJ19" i="2"/>
  <c r="V19" i="2" s="1"/>
  <c r="AS19" i="2"/>
  <c r="AJ15" i="2"/>
  <c r="V15" i="2" s="1"/>
  <c r="AS15" i="2"/>
  <c r="AJ18" i="2"/>
  <c r="V18" i="2" s="1"/>
  <c r="AS18" i="2"/>
  <c r="AE21" i="2"/>
  <c r="AE23" i="2"/>
  <c r="AE22" i="2"/>
  <c r="AE14" i="2"/>
  <c r="AF5" i="2"/>
  <c r="AH5" i="2" s="1"/>
  <c r="AC5" i="2"/>
  <c r="AF12" i="2"/>
  <c r="AC12" i="2"/>
  <c r="K23" i="2"/>
  <c r="K21" i="2"/>
  <c r="K22" i="2"/>
  <c r="K14" i="2"/>
  <c r="AG16" i="2"/>
  <c r="AF16" i="2"/>
  <c r="AH16" i="2" s="1"/>
  <c r="AG18" i="2"/>
  <c r="AF18" i="2"/>
  <c r="AH18" i="2" s="1"/>
  <c r="AG20" i="2"/>
  <c r="AF20" i="2"/>
  <c r="AH20" i="2" s="1"/>
  <c r="AG19" i="2"/>
  <c r="AF19" i="2"/>
  <c r="AH19" i="2" s="1"/>
  <c r="AG17" i="2"/>
  <c r="AF17" i="2"/>
  <c r="AH17" i="2" s="1"/>
  <c r="AG15" i="2"/>
  <c r="AF15" i="2"/>
  <c r="AH15" i="2" s="1"/>
  <c r="AG13" i="2"/>
  <c r="AF13" i="2"/>
  <c r="AH13" i="2" s="1"/>
  <c r="AG12" i="2"/>
  <c r="AG5" i="2"/>
  <c r="AD16" i="2"/>
  <c r="AD18" i="2"/>
  <c r="AD20" i="2"/>
  <c r="AD19" i="2"/>
  <c r="AD17" i="2"/>
  <c r="AD15" i="2"/>
  <c r="AD13" i="2"/>
  <c r="AD12" i="2"/>
  <c r="AD5" i="2"/>
  <c r="AT13" i="2"/>
  <c r="AT5" i="2"/>
  <c r="AT16" i="2"/>
  <c r="AT20" i="2"/>
  <c r="AT19" i="2"/>
  <c r="AT17" i="2"/>
  <c r="AT15" i="2"/>
  <c r="AT12" i="2"/>
  <c r="AT18" i="2"/>
  <c r="AI9" i="2"/>
  <c r="AV9" i="2" s="1"/>
  <c r="AI10" i="2"/>
  <c r="AI8" i="2"/>
  <c r="AV8" i="2" s="1"/>
  <c r="AI4" i="2"/>
  <c r="AU4" i="2" s="1"/>
  <c r="U8" i="2"/>
  <c r="T8" i="2"/>
  <c r="G8" i="2"/>
  <c r="U10" i="2"/>
  <c r="T10" i="2"/>
  <c r="G10" i="2"/>
  <c r="T9" i="2"/>
  <c r="U9" i="2"/>
  <c r="G9" i="2"/>
  <c r="U4" i="2"/>
  <c r="AC4" i="2" s="1"/>
  <c r="G4" i="2"/>
  <c r="T4" i="2"/>
  <c r="Y7" i="2"/>
  <c r="Y11" i="2"/>
  <c r="Y6" i="2"/>
  <c r="AU10" i="2" l="1"/>
  <c r="AV10" i="2"/>
  <c r="AS8" i="2"/>
  <c r="AU8" i="2"/>
  <c r="AS9" i="2"/>
  <c r="AU9" i="2"/>
  <c r="AS10" i="2"/>
  <c r="AT4" i="2"/>
  <c r="AJ4" i="2" s="1"/>
  <c r="V4" i="2" s="1"/>
  <c r="AS4" i="2"/>
  <c r="AH12" i="2"/>
  <c r="AE15" i="2"/>
  <c r="AE19" i="2"/>
  <c r="AE18" i="2"/>
  <c r="AE12" i="2"/>
  <c r="B12" i="2" s="1"/>
  <c r="AE13" i="2"/>
  <c r="AE17" i="2"/>
  <c r="AE20" i="2"/>
  <c r="AE16" i="2"/>
  <c r="AE5" i="2"/>
  <c r="B5" i="2" s="1"/>
  <c r="AF8" i="2"/>
  <c r="AH8" i="2" s="1"/>
  <c r="AC8" i="2"/>
  <c r="AF9" i="2"/>
  <c r="AH9" i="2" s="1"/>
  <c r="AC9" i="2"/>
  <c r="AF10" i="2"/>
  <c r="AH10" i="2" s="1"/>
  <c r="AC10" i="2"/>
  <c r="AB12" i="2"/>
  <c r="AB5" i="2"/>
  <c r="K15" i="2"/>
  <c r="K13" i="2"/>
  <c r="K17" i="2"/>
  <c r="K20" i="2"/>
  <c r="K16" i="2"/>
  <c r="K19" i="2"/>
  <c r="K18" i="2"/>
  <c r="AG4" i="2"/>
  <c r="AF4" i="2"/>
  <c r="AH4" i="2" s="1"/>
  <c r="AG9" i="2"/>
  <c r="AG10" i="2"/>
  <c r="AG8" i="2"/>
  <c r="AD4" i="2"/>
  <c r="AB4" i="2" s="1"/>
  <c r="AD8" i="2"/>
  <c r="AD9" i="2"/>
  <c r="AD10" i="2"/>
  <c r="AJ12" i="2"/>
  <c r="V12" i="2" s="1"/>
  <c r="AJ5" i="2"/>
  <c r="V5" i="2" s="1"/>
  <c r="AT10" i="2"/>
  <c r="AT9" i="2"/>
  <c r="AT8" i="2"/>
  <c r="AV4" i="2"/>
  <c r="AI11" i="2"/>
  <c r="AV11" i="2" s="1"/>
  <c r="AI7" i="2"/>
  <c r="AV7" i="2" s="1"/>
  <c r="AI6" i="2"/>
  <c r="AV6" i="2" s="1"/>
  <c r="T6" i="2"/>
  <c r="U6" i="2"/>
  <c r="G6" i="2"/>
  <c r="G7" i="2"/>
  <c r="T7" i="2"/>
  <c r="U7" i="2"/>
  <c r="T11" i="2"/>
  <c r="U11" i="2"/>
  <c r="G11" i="2"/>
  <c r="AS7" i="2" l="1"/>
  <c r="AU7" i="2"/>
  <c r="AS11" i="2"/>
  <c r="AU11" i="2"/>
  <c r="AS6" i="2"/>
  <c r="AU6" i="2"/>
  <c r="AE4" i="2"/>
  <c r="B4" i="2" s="1"/>
  <c r="AE10" i="2"/>
  <c r="B10" i="2" s="1"/>
  <c r="AE8" i="2"/>
  <c r="B8" i="2" s="1"/>
  <c r="AE9" i="2"/>
  <c r="B9" i="2" s="1"/>
  <c r="AF6" i="2"/>
  <c r="AC6" i="2"/>
  <c r="AF7" i="2"/>
  <c r="AH7" i="2" s="1"/>
  <c r="AC7" i="2"/>
  <c r="AF11" i="2"/>
  <c r="AH11" i="2" s="1"/>
  <c r="AC11" i="2"/>
  <c r="AB9" i="2"/>
  <c r="AB10" i="2"/>
  <c r="AB8" i="2"/>
  <c r="K4" i="2"/>
  <c r="AG11" i="2"/>
  <c r="AG6" i="2"/>
  <c r="AG7" i="2"/>
  <c r="AD7" i="2"/>
  <c r="AD6" i="2"/>
  <c r="AD11" i="2"/>
  <c r="AJ8" i="2"/>
  <c r="V8" i="2" s="1"/>
  <c r="AJ10" i="2"/>
  <c r="V10" i="2" s="1"/>
  <c r="AJ9" i="2"/>
  <c r="V9" i="2" s="1"/>
  <c r="AT11" i="2"/>
  <c r="AT6" i="2"/>
  <c r="AT7" i="2"/>
  <c r="AH6" i="2" l="1"/>
  <c r="AE7" i="2"/>
  <c r="B7" i="2" s="1"/>
  <c r="AE11" i="2"/>
  <c r="B11" i="2" s="1"/>
  <c r="AE6" i="2"/>
  <c r="AB7" i="2"/>
  <c r="AB6" i="2"/>
  <c r="AB11" i="2"/>
  <c r="AJ6" i="2"/>
  <c r="V6" i="2" s="1"/>
  <c r="AJ7" i="2"/>
  <c r="V7" i="2" s="1"/>
  <c r="AJ11" i="2"/>
  <c r="V11" i="2" s="1"/>
  <c r="B6" i="2" l="1"/>
  <c r="K5" i="2" l="1"/>
  <c r="K10" i="2"/>
  <c r="K9" i="2"/>
  <c r="K6" i="2"/>
  <c r="K12" i="2"/>
  <c r="K11" i="2"/>
  <c r="K7" i="2"/>
  <c r="K8" i="2"/>
</calcChain>
</file>

<file path=xl/comments1.xml><?xml version="1.0" encoding="utf-8"?>
<comments xmlns="http://schemas.openxmlformats.org/spreadsheetml/2006/main">
  <authors>
    <author>Leira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 xml:space="preserve">Bono Ataque masa
</t>
        </r>
        <r>
          <rPr>
            <b/>
            <sz val="9"/>
            <color indexed="81"/>
            <rFont val="Courier New"/>
            <family val="3"/>
          </rPr>
          <t xml:space="preserve">Nº   | Bono
-----|------
</t>
        </r>
        <r>
          <rPr>
            <sz val="9"/>
            <color indexed="81"/>
            <rFont val="Courier New"/>
            <family val="3"/>
          </rPr>
          <t>3+   | +30
5+   | +50
10+  | +70
15+  | +90
25+  | +110
50+  | +130
100+ | +150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 xml:space="preserve">Bono Daño a masa
</t>
        </r>
        <r>
          <rPr>
            <b/>
            <sz val="9"/>
            <color indexed="81"/>
            <rFont val="Courier New"/>
            <family val="3"/>
          </rPr>
          <t xml:space="preserve">Nº     | Mult.
-------|------
</t>
        </r>
        <r>
          <rPr>
            <sz val="9"/>
            <color indexed="81"/>
            <rFont val="Courier New"/>
            <family val="3"/>
          </rPr>
          <t>2-3    | x2
3-4    | x3
5-9    | x4
10-24  | x5
25-100 | x10
100+   | x15
1000+  | x25</t>
        </r>
      </text>
    </comment>
  </commentList>
</comments>
</file>

<file path=xl/sharedStrings.xml><?xml version="1.0" encoding="utf-8"?>
<sst xmlns="http://schemas.openxmlformats.org/spreadsheetml/2006/main" count="129" uniqueCount="70">
  <si>
    <t>PVs</t>
  </si>
  <si>
    <t>Ataque</t>
  </si>
  <si>
    <t>Defensa</t>
  </si>
  <si>
    <t>Turno</t>
  </si>
  <si>
    <t>Daño</t>
  </si>
  <si>
    <t>TA</t>
  </si>
  <si>
    <t>Nombre</t>
  </si>
  <si>
    <t>Secundarias</t>
  </si>
  <si>
    <t>Resistencias</t>
  </si>
  <si>
    <t>Personaje</t>
  </si>
  <si>
    <t>Arma</t>
  </si>
  <si>
    <t>Cansancio</t>
  </si>
  <si>
    <t>Ki</t>
  </si>
  <si>
    <t>Zeon</t>
  </si>
  <si>
    <t>CVs</t>
  </si>
  <si>
    <t>Daño / Otros</t>
  </si>
  <si>
    <t>Aux</t>
  </si>
  <si>
    <t>Tabla</t>
  </si>
  <si>
    <t>Posiciones</t>
  </si>
  <si>
    <t>Pjs</t>
  </si>
  <si>
    <t>Direcciones</t>
  </si>
  <si>
    <t>Aux 2</t>
  </si>
  <si>
    <t>Iniciativa</t>
  </si>
  <si>
    <t>Pifia</t>
  </si>
  <si>
    <t>Abierta</t>
  </si>
  <si>
    <t>Sorpresa</t>
  </si>
  <si>
    <t>Ventajas</t>
  </si>
  <si>
    <t>Alias</t>
  </si>
  <si>
    <t>Buena Suerte</t>
  </si>
  <si>
    <t>Tabla Armas</t>
  </si>
  <si>
    <t>Indice Tabla Armas</t>
  </si>
  <si>
    <t>Numero Pj</t>
  </si>
  <si>
    <t>Uroboros</t>
  </si>
  <si>
    <t>Mala Suerte</t>
  </si>
  <si>
    <t>PVs individual</t>
  </si>
  <si>
    <t>PVs masa</t>
  </si>
  <si>
    <t>Bono
Turno</t>
  </si>
  <si>
    <t>Daño individual</t>
  </si>
  <si>
    <t>Daño masa</t>
  </si>
  <si>
    <t>Daño 1 Num</t>
  </si>
  <si>
    <t>Daño 1 Texto</t>
  </si>
  <si>
    <t>Daño 2 Num</t>
  </si>
  <si>
    <t>Daño 2 Texto</t>
  </si>
  <si>
    <t>Atributos</t>
  </si>
  <si>
    <t>Caídos</t>
  </si>
  <si>
    <t>PVs num Fin</t>
  </si>
  <si>
    <t>PVs num Ini</t>
  </si>
  <si>
    <t>PVs mult Ini</t>
  </si>
  <si>
    <t>PVs caidos Ini</t>
  </si>
  <si>
    <t>PVs mult Fin</t>
  </si>
  <si>
    <t>PVs caidos Fin</t>
  </si>
  <si>
    <t>Sufrido</t>
  </si>
  <si>
    <t>Gastado</t>
  </si>
  <si>
    <t>Total</t>
  </si>
  <si>
    <t>Tirada</t>
  </si>
  <si>
    <t>Gast.</t>
  </si>
  <si>
    <t>Res.</t>
  </si>
  <si>
    <t>Notas</t>
  </si>
  <si>
    <t xml:space="preserve">             Turnos</t>
  </si>
  <si>
    <t xml:space="preserve">             Ataques</t>
  </si>
  <si>
    <t xml:space="preserve">             Defensas</t>
  </si>
  <si>
    <t xml:space="preserve">             Daños</t>
  </si>
  <si>
    <t xml:space="preserve">                                      Armas</t>
  </si>
  <si>
    <t>TitleNumber</t>
  </si>
  <si>
    <t>Nombre original</t>
  </si>
  <si>
    <t>Cuenta Nombre Original</t>
  </si>
  <si>
    <t>Sorprendido</t>
  </si>
  <si>
    <t>Suf.</t>
  </si>
  <si>
    <t>Nº Masa</t>
  </si>
  <si>
    <t>Tablas!$B$6:$B$7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</si>
</sst>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Arial Black"/>
      <family val="2"/>
    </font>
    <font>
      <sz val="11"/>
      <color rgb="FF000000"/>
      <name val="Arial Black"/>
      <family val="2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Courier New"/>
      <family val="3"/>
    </font>
    <font>
      <sz val="9"/>
      <color indexed="81"/>
      <name val="Courier New"/>
      <family val="3"/>
    </font>
    <font>
      <b/>
      <sz val="11"/>
      <color theme="1"/>
      <name val="Cambria"/>
      <family val="1"/>
    </font>
    <font>
      <b/>
      <sz val="5"/>
      <color theme="0"/>
      <name val="Cambria"/>
      <family val="1"/>
    </font>
    <font>
      <b/>
      <sz val="9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9D9D9"/>
      </right>
      <top/>
      <bottom/>
      <diagonal/>
    </border>
    <border>
      <left style="thin">
        <color rgb="FFC0C0C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medium">
        <color indexed="64"/>
      </bottom>
      <diagonal/>
    </border>
    <border>
      <left style="thin">
        <color indexed="64"/>
      </left>
      <right/>
      <top style="thin">
        <color rgb="FFD9D9D9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rgb="FFF2F2F2"/>
      </top>
      <bottom style="thin">
        <color rgb="FFD9D9D9"/>
      </bottom>
      <diagonal/>
    </border>
    <border>
      <left style="thin">
        <color indexed="64"/>
      </left>
      <right style="thin">
        <color theme="0" tint="-0.249977111117893"/>
      </right>
      <top style="thin">
        <color rgb="FFD9D9D9"/>
      </top>
      <bottom style="thin">
        <color rgb="FFF2F2F2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rgb="FFF2F2F2"/>
      </bottom>
      <diagonal/>
    </border>
    <border>
      <left style="thin">
        <color indexed="64"/>
      </left>
      <right style="thin">
        <color indexed="64"/>
      </right>
      <top style="thin">
        <color rgb="FFF2F2F2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1">
    <xf numFmtId="0" fontId="0" fillId="0" borderId="0" xfId="0"/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6" xfId="0" applyFill="1" applyBorder="1"/>
    <xf numFmtId="0" fontId="0" fillId="9" borderId="20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0" fontId="0" fillId="9" borderId="21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7" borderId="26" xfId="0" applyFill="1" applyBorder="1" applyAlignment="1" applyProtection="1">
      <alignment horizontal="center"/>
      <protection locked="0"/>
    </xf>
    <xf numFmtId="0" fontId="0" fillId="9" borderId="28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9" borderId="13" xfId="0" applyFill="1" applyBorder="1" applyAlignment="1" applyProtection="1">
      <alignment horizontal="center" vertical="center"/>
      <protection locked="0"/>
    </xf>
    <xf numFmtId="0" fontId="0" fillId="9" borderId="32" xfId="0" applyFill="1" applyBorder="1" applyAlignment="1" applyProtection="1">
      <alignment horizontal="center"/>
      <protection locked="0"/>
    </xf>
    <xf numFmtId="0" fontId="0" fillId="7" borderId="33" xfId="0" applyFill="1" applyBorder="1" applyAlignment="1" applyProtection="1">
      <alignment horizontal="center"/>
      <protection locked="0"/>
    </xf>
    <xf numFmtId="0" fontId="0" fillId="9" borderId="34" xfId="0" applyFill="1" applyBorder="1" applyAlignment="1" applyProtection="1">
      <alignment horizontal="center"/>
      <protection locked="0"/>
    </xf>
    <xf numFmtId="0" fontId="0" fillId="9" borderId="35" xfId="0" applyFill="1" applyBorder="1" applyAlignment="1" applyProtection="1">
      <alignment horizontal="center"/>
      <protection locked="0"/>
    </xf>
    <xf numFmtId="0" fontId="0" fillId="7" borderId="36" xfId="0" applyFill="1" applyBorder="1" applyAlignment="1" applyProtection="1">
      <alignment horizontal="center"/>
      <protection locked="0"/>
    </xf>
    <xf numFmtId="0" fontId="0" fillId="9" borderId="37" xfId="0" applyFill="1" applyBorder="1" applyAlignment="1" applyProtection="1">
      <alignment horizontal="center"/>
      <protection locked="0"/>
    </xf>
    <xf numFmtId="0" fontId="0" fillId="9" borderId="38" xfId="0" applyFill="1" applyBorder="1" applyAlignment="1" applyProtection="1">
      <alignment horizontal="center"/>
      <protection locked="0"/>
    </xf>
    <xf numFmtId="0" fontId="0" fillId="7" borderId="39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Border="1" applyAlignment="1" applyProtection="1"/>
    <xf numFmtId="0" fontId="0" fillId="0" borderId="0" xfId="0" applyBorder="1" applyAlignment="1" applyProtection="1">
      <alignment horizontal="left"/>
    </xf>
    <xf numFmtId="0" fontId="0" fillId="5" borderId="11" xfId="0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shrinkToFit="1"/>
    </xf>
    <xf numFmtId="0" fontId="0" fillId="5" borderId="1" xfId="0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horizontal="center" vertical="center"/>
    </xf>
    <xf numFmtId="0" fontId="0" fillId="5" borderId="17" xfId="0" applyFill="1" applyBorder="1" applyAlignment="1" applyProtection="1">
      <alignment horizontal="center" vertical="center"/>
    </xf>
    <xf numFmtId="0" fontId="6" fillId="5" borderId="30" xfId="0" applyFont="1" applyFill="1" applyBorder="1" applyAlignment="1" applyProtection="1">
      <alignment horizontal="left" vertical="center"/>
    </xf>
    <xf numFmtId="0" fontId="0" fillId="8" borderId="11" xfId="0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 vertical="center"/>
    </xf>
    <xf numFmtId="0" fontId="0" fillId="8" borderId="6" xfId="0" applyFill="1" applyBorder="1" applyAlignment="1" applyProtection="1">
      <alignment horizontal="center" vertical="center" shrinkToFit="1"/>
    </xf>
    <xf numFmtId="0" fontId="0" fillId="8" borderId="1" xfId="0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center" vertical="center"/>
    </xf>
    <xf numFmtId="0" fontId="0" fillId="8" borderId="17" xfId="0" applyFill="1" applyBorder="1" applyAlignment="1" applyProtection="1">
      <alignment horizontal="center" vertical="center"/>
    </xf>
    <xf numFmtId="0" fontId="6" fillId="8" borderId="30" xfId="0" applyFont="1" applyFill="1" applyBorder="1" applyAlignment="1" applyProtection="1">
      <alignment horizontal="left" vertical="center"/>
    </xf>
    <xf numFmtId="0" fontId="0" fillId="8" borderId="12" xfId="0" applyFill="1" applyBorder="1" applyAlignment="1" applyProtection="1">
      <alignment horizontal="center"/>
    </xf>
    <xf numFmtId="0" fontId="0" fillId="8" borderId="7" xfId="0" applyFill="1" applyBorder="1" applyAlignment="1" applyProtection="1">
      <alignment horizontal="center" vertical="center"/>
    </xf>
    <xf numFmtId="0" fontId="0" fillId="8" borderId="9" xfId="0" applyFill="1" applyBorder="1" applyAlignment="1" applyProtection="1">
      <alignment horizontal="center" vertical="center" shrinkToFit="1"/>
    </xf>
    <xf numFmtId="0" fontId="0" fillId="8" borderId="13" xfId="0" applyFill="1" applyBorder="1" applyAlignment="1" applyProtection="1">
      <alignment horizontal="center" vertical="center"/>
    </xf>
    <xf numFmtId="0" fontId="0" fillId="8" borderId="8" xfId="0" applyFill="1" applyBorder="1" applyAlignment="1" applyProtection="1">
      <alignment horizontal="center" vertical="center"/>
    </xf>
    <xf numFmtId="0" fontId="0" fillId="8" borderId="25" xfId="0" applyFill="1" applyBorder="1" applyAlignment="1" applyProtection="1">
      <alignment horizontal="center" vertical="center"/>
    </xf>
    <xf numFmtId="0" fontId="6" fillId="8" borderId="31" xfId="0" applyFont="1" applyFill="1" applyBorder="1" applyAlignment="1" applyProtection="1">
      <alignment horizontal="left" vertical="center"/>
    </xf>
    <xf numFmtId="0" fontId="0" fillId="5" borderId="1" xfId="0" applyFill="1" applyBorder="1" applyAlignment="1" applyProtection="1">
      <alignment horizontal="center"/>
    </xf>
    <xf numFmtId="0" fontId="0" fillId="5" borderId="18" xfId="0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0" fillId="5" borderId="17" xfId="0" applyFill="1" applyBorder="1" applyAlignment="1" applyProtection="1">
      <alignment horizontal="center"/>
    </xf>
    <xf numFmtId="0" fontId="0" fillId="8" borderId="1" xfId="0" applyFill="1" applyBorder="1" applyAlignment="1" applyProtection="1">
      <alignment horizontal="center"/>
    </xf>
    <xf numFmtId="0" fontId="0" fillId="8" borderId="18" xfId="0" applyFill="1" applyBorder="1" applyAlignment="1" applyProtection="1">
      <alignment horizontal="center"/>
    </xf>
    <xf numFmtId="0" fontId="0" fillId="8" borderId="27" xfId="0" applyFill="1" applyBorder="1" applyAlignment="1" applyProtection="1">
      <alignment horizontal="center"/>
    </xf>
    <xf numFmtId="0" fontId="0" fillId="8" borderId="17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5" borderId="22" xfId="0" applyFill="1" applyBorder="1" applyAlignment="1" applyProtection="1">
      <alignment horizontal="center"/>
    </xf>
    <xf numFmtId="0" fontId="0" fillId="8" borderId="13" xfId="0" applyFill="1" applyBorder="1" applyAlignment="1" applyProtection="1">
      <alignment horizontal="center"/>
    </xf>
    <xf numFmtId="0" fontId="0" fillId="8" borderId="19" xfId="0" applyFill="1" applyBorder="1" applyAlignment="1" applyProtection="1">
      <alignment horizontal="center"/>
    </xf>
    <xf numFmtId="0" fontId="0" fillId="8" borderId="29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7" borderId="11" xfId="0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horizontal="center" vertical="center"/>
      <protection locked="0"/>
    </xf>
    <xf numFmtId="0" fontId="0" fillId="9" borderId="12" xfId="0" applyFill="1" applyBorder="1" applyAlignment="1" applyProtection="1">
      <alignment horizontal="center" vertical="center"/>
      <protection locked="0"/>
    </xf>
    <xf numFmtId="0" fontId="8" fillId="6" borderId="7" xfId="0" applyFont="1" applyFill="1" applyBorder="1" applyAlignment="1" applyProtection="1">
      <alignment horizontal="center" shrinkToFit="1"/>
    </xf>
    <xf numFmtId="0" fontId="8" fillId="6" borderId="8" xfId="0" applyFont="1" applyFill="1" applyBorder="1" applyAlignment="1" applyProtection="1">
      <alignment horizontal="center" shrinkToFit="1"/>
    </xf>
    <xf numFmtId="0" fontId="8" fillId="6" borderId="9" xfId="0" applyFont="1" applyFill="1" applyBorder="1" applyAlignment="1" applyProtection="1">
      <alignment horizontal="center" shrinkToFi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18" xfId="0" applyFill="1" applyBorder="1"/>
    <xf numFmtId="0" fontId="1" fillId="3" borderId="40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vertical="center"/>
    </xf>
    <xf numFmtId="0" fontId="7" fillId="5" borderId="30" xfId="0" applyFont="1" applyFill="1" applyBorder="1" applyAlignment="1" applyProtection="1">
      <alignment horizontal="center"/>
    </xf>
    <xf numFmtId="0" fontId="7" fillId="8" borderId="30" xfId="0" applyFont="1" applyFill="1" applyBorder="1" applyAlignment="1" applyProtection="1">
      <alignment horizontal="center"/>
    </xf>
    <xf numFmtId="0" fontId="7" fillId="8" borderId="31" xfId="0" applyFont="1" applyFill="1" applyBorder="1" applyAlignment="1" applyProtection="1">
      <alignment horizontal="center"/>
    </xf>
    <xf numFmtId="0" fontId="0" fillId="5" borderId="41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0" fillId="5" borderId="42" xfId="0" applyFill="1" applyBorder="1" applyAlignment="1" applyProtection="1">
      <alignment horizontal="center"/>
    </xf>
    <xf numFmtId="0" fontId="0" fillId="0" borderId="0" xfId="0" applyFont="1"/>
    <xf numFmtId="0" fontId="13" fillId="0" borderId="0" xfId="0" applyFont="1" applyAlignment="1">
      <alignment vertical="center"/>
    </xf>
    <xf numFmtId="0" fontId="13" fillId="0" borderId="0" xfId="0" applyFont="1" applyFill="1" applyAlignment="1">
      <alignment vertical="center"/>
    </xf>
    <xf numFmtId="0" fontId="0" fillId="0" borderId="0" xfId="0" applyFill="1" applyAlignment="1">
      <alignment horizontal="right"/>
    </xf>
    <xf numFmtId="0" fontId="0" fillId="7" borderId="5" xfId="0" applyFill="1" applyBorder="1" applyAlignment="1" applyProtection="1">
      <alignment horizontal="center" vertical="center" shrinkToFit="1"/>
      <protection locked="0"/>
    </xf>
    <xf numFmtId="0" fontId="0" fillId="7" borderId="18" xfId="0" applyFill="1" applyBorder="1" applyAlignment="1" applyProtection="1">
      <alignment horizontal="center" vertical="center" shrinkToFit="1"/>
      <protection locked="0"/>
    </xf>
    <xf numFmtId="0" fontId="0" fillId="7" borderId="1" xfId="0" applyFill="1" applyBorder="1" applyAlignment="1" applyProtection="1">
      <alignment horizontal="center" vertical="center" shrinkToFit="1"/>
      <protection locked="0"/>
    </xf>
    <xf numFmtId="0" fontId="0" fillId="9" borderId="5" xfId="0" applyFill="1" applyBorder="1" applyAlignment="1" applyProtection="1">
      <alignment horizontal="center" vertical="center" shrinkToFit="1"/>
      <protection locked="0"/>
    </xf>
    <xf numFmtId="0" fontId="0" fillId="9" borderId="18" xfId="0" applyFill="1" applyBorder="1" applyAlignment="1" applyProtection="1">
      <alignment horizontal="center" vertical="center" shrinkToFit="1"/>
      <protection locked="0"/>
    </xf>
    <xf numFmtId="0" fontId="0" fillId="9" borderId="1" xfId="0" applyFill="1" applyBorder="1" applyAlignment="1" applyProtection="1">
      <alignment horizontal="center" vertical="center" shrinkToFit="1"/>
      <protection locked="0"/>
    </xf>
    <xf numFmtId="0" fontId="0" fillId="9" borderId="7" xfId="0" applyFill="1" applyBorder="1" applyAlignment="1" applyProtection="1">
      <alignment horizontal="center" vertical="center" shrinkToFit="1"/>
      <protection locked="0"/>
    </xf>
    <xf numFmtId="0" fontId="0" fillId="9" borderId="19" xfId="0" applyFill="1" applyBorder="1" applyAlignment="1" applyProtection="1">
      <alignment horizontal="center" vertical="center" shrinkToFit="1"/>
      <protection locked="0"/>
    </xf>
    <xf numFmtId="0" fontId="0" fillId="9" borderId="13" xfId="0" applyFill="1" applyBorder="1" applyAlignment="1" applyProtection="1">
      <alignment horizontal="center" vertical="center" shrinkToFit="1"/>
      <protection locked="0"/>
    </xf>
    <xf numFmtId="0" fontId="0" fillId="5" borderId="18" xfId="0" applyFill="1" applyBorder="1" applyAlignment="1" applyProtection="1">
      <alignment horizontal="center" vertical="center" shrinkToFit="1"/>
    </xf>
    <xf numFmtId="0" fontId="0" fillId="8" borderId="18" xfId="0" applyFill="1" applyBorder="1" applyAlignment="1" applyProtection="1">
      <alignment horizontal="center" vertical="center" shrinkToFit="1"/>
    </xf>
    <xf numFmtId="0" fontId="0" fillId="8" borderId="19" xfId="0" applyFill="1" applyBorder="1" applyAlignment="1" applyProtection="1">
      <alignment horizontal="center" vertical="center" shrinkToFit="1"/>
    </xf>
    <xf numFmtId="0" fontId="0" fillId="5" borderId="18" xfId="0" applyFont="1" applyFill="1" applyBorder="1" applyAlignment="1" applyProtection="1">
      <alignment horizontal="center" vertical="center" shrinkToFit="1"/>
    </xf>
    <xf numFmtId="0" fontId="0" fillId="8" borderId="18" xfId="0" applyFont="1" applyFill="1" applyBorder="1" applyAlignment="1" applyProtection="1">
      <alignment horizontal="center" vertical="center" shrinkToFit="1"/>
    </xf>
    <xf numFmtId="0" fontId="0" fillId="8" borderId="19" xfId="0" applyFont="1" applyFill="1" applyBorder="1" applyAlignment="1" applyProtection="1">
      <alignment horizontal="center" vertical="center" shrinkToFit="1"/>
    </xf>
    <xf numFmtId="0" fontId="14" fillId="0" borderId="0" xfId="0" applyFont="1" applyFill="1" applyAlignment="1">
      <alignment horizontal="left" vertical="center"/>
    </xf>
    <xf numFmtId="0" fontId="8" fillId="6" borderId="13" xfId="0" applyFont="1" applyFill="1" applyBorder="1" applyAlignment="1" applyProtection="1">
      <alignment horizontal="center" shrinkToFit="1"/>
    </xf>
    <xf numFmtId="0" fontId="0" fillId="7" borderId="33" xfId="0" quotePrefix="1" applyFill="1" applyBorder="1" applyAlignment="1" applyProtection="1">
      <alignment horizontal="center"/>
      <protection locked="0"/>
    </xf>
    <xf numFmtId="0" fontId="0" fillId="9" borderId="1" xfId="0" quotePrefix="1" applyFill="1" applyBorder="1" applyAlignment="1" applyProtection="1">
      <alignment horizontal="center" vertical="center"/>
      <protection locked="0"/>
    </xf>
    <xf numFmtId="0" fontId="0" fillId="9" borderId="38" xfId="0" quotePrefix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center" vertical="center" wrapText="1"/>
    </xf>
    <xf numFmtId="0" fontId="4" fillId="6" borderId="4" xfId="0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43" xfId="0" applyFont="1" applyFill="1" applyBorder="1" applyAlignment="1" applyProtection="1">
      <alignment horizontal="center" vertical="center"/>
    </xf>
    <xf numFmtId="0" fontId="4" fillId="6" borderId="13" xfId="0" applyFont="1" applyFill="1" applyBorder="1" applyAlignment="1" applyProtection="1">
      <alignment horizontal="center" vertical="center"/>
    </xf>
    <xf numFmtId="0" fontId="9" fillId="6" borderId="43" xfId="0" applyFont="1" applyFill="1" applyBorder="1" applyAlignment="1" applyProtection="1">
      <alignment horizontal="center" vertical="center"/>
    </xf>
    <xf numFmtId="0" fontId="9" fillId="6" borderId="13" xfId="0" applyFont="1" applyFill="1" applyBorder="1" applyAlignment="1" applyProtection="1">
      <alignment horizontal="center" vertical="center"/>
    </xf>
    <xf numFmtId="0" fontId="9" fillId="6" borderId="43" xfId="0" applyFont="1" applyFill="1" applyBorder="1" applyAlignment="1" applyProtection="1">
      <alignment horizontal="center" vertical="center" wrapText="1"/>
    </xf>
    <xf numFmtId="0" fontId="9" fillId="6" borderId="13" xfId="0" applyFont="1" applyFill="1" applyBorder="1" applyAlignment="1" applyProtection="1">
      <alignment horizontal="center" vertical="center" wrapText="1"/>
    </xf>
    <xf numFmtId="0" fontId="4" fillId="6" borderId="44" xfId="0" applyFont="1" applyFill="1" applyBorder="1" applyAlignment="1" applyProtection="1">
      <alignment horizontal="center" vertical="center"/>
    </xf>
    <xf numFmtId="0" fontId="4" fillId="6" borderId="31" xfId="0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center" vertical="center"/>
    </xf>
    <xf numFmtId="0" fontId="4" fillId="6" borderId="7" xfId="0" applyFont="1" applyFill="1" applyBorder="1" applyAlignment="1" applyProtection="1">
      <alignment horizontal="center" vertical="center"/>
    </xf>
    <xf numFmtId="0" fontId="15" fillId="6" borderId="43" xfId="0" applyFont="1" applyFill="1" applyBorder="1" applyAlignment="1" applyProtection="1">
      <alignment horizontal="center" vertical="center"/>
    </xf>
    <xf numFmtId="0" fontId="15" fillId="6" borderId="13" xfId="0" applyFont="1" applyFill="1" applyBorder="1" applyAlignment="1" applyProtection="1">
      <alignment horizontal="center" vertical="center"/>
    </xf>
    <xf numFmtId="0" fontId="15" fillId="6" borderId="43" xfId="0" applyFont="1" applyFill="1" applyBorder="1" applyAlignment="1" applyProtection="1">
      <alignment horizontal="center" vertical="center" wrapText="1"/>
    </xf>
    <xf numFmtId="0" fontId="15" fillId="6" borderId="13" xfId="0" applyFont="1" applyFill="1" applyBorder="1" applyAlignment="1" applyProtection="1">
      <alignment horizontal="center" vertical="center" wrapText="1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C00000"/>
      </font>
    </dxf>
    <dxf>
      <font>
        <b/>
        <i val="0"/>
        <color rgb="FFFF0000"/>
      </font>
    </dxf>
    <dxf>
      <font>
        <color rgb="FFC00000"/>
      </font>
    </dxf>
    <dxf>
      <font>
        <b/>
        <i val="0"/>
        <color rgb="FFFF0000"/>
      </font>
    </dxf>
    <dxf>
      <font>
        <color theme="7" tint="-0.24994659260841701"/>
      </font>
    </dxf>
    <dxf>
      <font>
        <color theme="5" tint="-0.24994659260841701"/>
      </font>
    </dxf>
    <dxf>
      <font>
        <color rgb="FFC00000"/>
      </font>
    </dxf>
    <dxf>
      <font>
        <color rgb="FFFF0000"/>
      </font>
    </dxf>
    <dxf>
      <font>
        <b/>
        <i val="0"/>
        <color rgb="FFFF0000"/>
      </font>
    </dxf>
    <dxf>
      <font>
        <color theme="5" tint="-0.24994659260841701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333333"/>
      <color rgb="FFF2F2F2"/>
      <color rgb="FFD9D9D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1</xdr:col>
          <xdr:colOff>200025</xdr:colOff>
          <xdr:row>2</xdr:row>
          <xdr:rowOff>161925</xdr:rowOff>
        </xdr:to>
        <xdr:sp macro="" textlink="">
          <xdr:nvSpPr>
            <xdr:cNvPr id="1027" name="ButtonBaseDe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 Black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19050</xdr:rowOff>
        </xdr:from>
        <xdr:to>
          <xdr:col>1</xdr:col>
          <xdr:colOff>419100</xdr:colOff>
          <xdr:row>1</xdr:row>
          <xdr:rowOff>219075</xdr:rowOff>
        </xdr:to>
        <xdr:sp macro="" textlink="">
          <xdr:nvSpPr>
            <xdr:cNvPr id="1071" name="ButtonAdd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50876" rIns="128016" bIns="1508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276225</xdr:colOff>
          <xdr:row>0</xdr:row>
          <xdr:rowOff>276225</xdr:rowOff>
        </xdr:to>
        <xdr:sp macro="" textlink="">
          <xdr:nvSpPr>
            <xdr:cNvPr id="1102" name="ButtonHelp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14288</xdr:rowOff>
        </xdr:from>
        <xdr:to>
          <xdr:col>0</xdr:col>
          <xdr:colOff>266700</xdr:colOff>
          <xdr:row>1</xdr:row>
          <xdr:rowOff>219075</xdr:rowOff>
        </xdr:to>
        <xdr:sp macro="" textlink="">
          <xdr:nvSpPr>
            <xdr:cNvPr id="1116" name="ButtonDel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50876" rIns="128016" bIns="1508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 Black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447675</xdr:colOff>
          <xdr:row>2</xdr:row>
          <xdr:rowOff>190500</xdr:rowOff>
        </xdr:to>
        <xdr:sp macro="" textlink="">
          <xdr:nvSpPr>
            <xdr:cNvPr id="6699" name="ButtonRollInitiative" hidden="1">
              <a:extLst>
                <a:ext uri="{63B3BB69-23CF-44E3-9099-C40C66FF867C}">
                  <a14:compatExt spid="_x0000_s6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3"/>
  <sheetViews>
    <sheetView tabSelected="1" zoomScaleNormal="100" workbookViewId="0">
      <pane xSplit="3" ySplit="2" topLeftCell="N3" activePane="bottomRight" state="frozen"/>
      <selection pane="topRight" activeCell="D1" sqref="D1"/>
      <selection pane="bottomLeft" activeCell="A3" sqref="A3"/>
      <selection pane="bottomRight" activeCell="C6" sqref="C6"/>
    </sheetView>
  </sheetViews>
  <sheetFormatPr baseColWidth="10" defaultRowHeight="15" x14ac:dyDescent="0.25"/>
  <cols>
    <col min="1" max="1" width="4.28515625" customWidth="1"/>
    <col min="2" max="2" width="6.7109375" style="89" customWidth="1"/>
    <col min="3" max="3" width="24" customWidth="1"/>
    <col min="4" max="4" width="5" bestFit="1" customWidth="1"/>
    <col min="5" max="5" width="24.7109375" customWidth="1"/>
    <col min="6" max="6" width="14.42578125" customWidth="1"/>
    <col min="7" max="7" width="10.140625" customWidth="1"/>
    <col min="8" max="8" width="24.28515625" customWidth="1"/>
    <col min="9" max="9" width="11.42578125" bestFit="1" customWidth="1"/>
    <col min="10" max="10" width="3.42578125" bestFit="1" customWidth="1"/>
    <col min="11" max="11" width="6.140625" bestFit="1" customWidth="1"/>
    <col min="12" max="12" width="5" bestFit="1" customWidth="1"/>
    <col min="13" max="13" width="28.85546875" customWidth="1"/>
    <col min="14" max="16" width="43.42578125" customWidth="1"/>
    <col min="17" max="17" width="13.42578125" bestFit="1" customWidth="1"/>
    <col min="18" max="18" width="15.42578125" hidden="1" customWidth="1"/>
    <col min="19" max="19" width="22.7109375" hidden="1" customWidth="1"/>
  </cols>
  <sheetData>
    <row r="1" spans="1:19" ht="22.5" customHeight="1" x14ac:dyDescent="0.25"/>
    <row r="2" spans="1:19" s="87" customFormat="1" ht="18.75" customHeight="1" x14ac:dyDescent="0.25">
      <c r="A2" s="88"/>
      <c r="B2" s="105" t="s">
        <v>63</v>
      </c>
      <c r="C2" s="87" t="s">
        <v>6</v>
      </c>
      <c r="D2" s="87" t="s">
        <v>0</v>
      </c>
      <c r="E2" s="87" t="s">
        <v>3</v>
      </c>
      <c r="F2" s="87" t="s">
        <v>1</v>
      </c>
      <c r="G2" s="87" t="s">
        <v>2</v>
      </c>
      <c r="H2" s="87" t="s">
        <v>4</v>
      </c>
      <c r="I2" s="87" t="s">
        <v>11</v>
      </c>
      <c r="J2" s="87" t="s">
        <v>12</v>
      </c>
      <c r="K2" s="87" t="s">
        <v>13</v>
      </c>
      <c r="L2" s="87" t="s">
        <v>14</v>
      </c>
      <c r="M2" s="87" t="s">
        <v>8</v>
      </c>
      <c r="N2" s="87" t="s">
        <v>5</v>
      </c>
      <c r="O2" s="87" t="s">
        <v>43</v>
      </c>
      <c r="P2" s="87" t="s">
        <v>26</v>
      </c>
      <c r="Q2" s="87" t="s">
        <v>7</v>
      </c>
      <c r="R2" s="87" t="s">
        <v>64</v>
      </c>
      <c r="S2" s="87" t="s">
        <v>65</v>
      </c>
    </row>
    <row r="3" spans="1:19" hidden="1" x14ac:dyDescent="0.25">
      <c r="B3" s="89">
        <v>0</v>
      </c>
      <c r="Q3">
        <v>0</v>
      </c>
    </row>
  </sheetData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102" r:id="rId4" name="ButtonHelp">
          <controlPr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276225</xdr:colOff>
                <xdr:row>0</xdr:row>
                <xdr:rowOff>276225</xdr:rowOff>
              </to>
            </anchor>
          </controlPr>
        </control>
      </mc:Choice>
      <mc:Fallback>
        <control shapeId="1102" r:id="rId4" name="ButtonHelp"/>
      </mc:Fallback>
    </mc:AlternateContent>
    <mc:AlternateContent xmlns:mc="http://schemas.openxmlformats.org/markup-compatibility/2006">
      <mc:Choice Requires="x14">
        <control shapeId="1027" r:id="rId6" name="ButtonBaseDel">
          <controlPr defaultSize="0" print="0" autoFill="0" autoPict="0" macro="[0]!DeleteCharacter">
            <anchor moveWithCells="1" sizeWithCells="1">
              <from>
                <xdr:col>1</xdr:col>
                <xdr:colOff>28575</xdr:colOff>
                <xdr:row>2</xdr:row>
                <xdr:rowOff>19050</xdr:rowOff>
              </from>
              <to>
                <xdr:col>1</xdr:col>
                <xdr:colOff>200025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7" name="ButtonAdd">
          <controlPr defaultSize="0" print="0" autoFill="0" autoPict="0" macro="[0]!AddRow">
            <anchor moveWithCells="1" sizeWithCells="1">
              <from>
                <xdr:col>1</xdr:col>
                <xdr:colOff>28575</xdr:colOff>
                <xdr:row>1</xdr:row>
                <xdr:rowOff>19050</xdr:rowOff>
              </from>
              <to>
                <xdr:col>1</xdr:col>
                <xdr:colOff>419100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" name="Button 92">
          <controlPr defaultSize="0" print="0" autoFill="0" autoPict="0" macro="[0]!DeleteAllCharacters">
            <anchor moveWithCells="1" sizeWithCells="1">
              <from>
                <xdr:col>0</xdr:col>
                <xdr:colOff>19050</xdr:colOff>
                <xdr:row>1</xdr:row>
                <xdr:rowOff>19050</xdr:rowOff>
              </from>
              <to>
                <xdr:col>0</xdr:col>
                <xdr:colOff>266700</xdr:colOff>
                <xdr:row>1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V23"/>
  <sheetViews>
    <sheetView workbookViewId="0">
      <selection activeCell="C4" sqref="C4"/>
    </sheetView>
  </sheetViews>
  <sheetFormatPr baseColWidth="10" defaultRowHeight="15" x14ac:dyDescent="0.25"/>
  <cols>
    <col min="1" max="1" width="3.42578125" style="30" customWidth="1"/>
    <col min="2" max="2" width="5.28515625" style="30" customWidth="1"/>
    <col min="3" max="3" width="5" style="30" customWidth="1"/>
    <col min="4" max="4" width="18.5703125" style="30" customWidth="1"/>
    <col min="5" max="5" width="21.85546875" style="30" customWidth="1"/>
    <col min="6" max="6" width="20" style="30" customWidth="1"/>
    <col min="7" max="8" width="5.7109375" style="30" customWidth="1"/>
    <col min="9" max="9" width="19.28515625" style="30" customWidth="1"/>
    <col min="10" max="12" width="6.42578125" style="30" customWidth="1"/>
    <col min="13" max="13" width="5.7109375" style="30" customWidth="1"/>
    <col min="14" max="14" width="6.42578125" style="30" customWidth="1"/>
    <col min="15" max="15" width="5" style="30" customWidth="1"/>
    <col min="16" max="16" width="6.7109375" style="30" customWidth="1"/>
    <col min="17" max="17" width="5.7109375" style="30" customWidth="1"/>
    <col min="18" max="18" width="6.42578125" style="30" customWidth="1"/>
    <col min="19" max="19" width="4.28515625" style="30" customWidth="1"/>
    <col min="20" max="20" width="9.28515625" style="30" customWidth="1"/>
    <col min="21" max="21" width="12.140625" style="30" customWidth="1"/>
    <col min="22" max="22" width="19.28515625" style="30" customWidth="1"/>
    <col min="23" max="23" width="3.42578125" style="30" customWidth="1"/>
    <col min="24" max="43" width="11.42578125" style="30" hidden="1" customWidth="1"/>
    <col min="44" max="45" width="11.85546875" style="30" hidden="1" customWidth="1"/>
    <col min="46" max="48" width="11.42578125" style="30" hidden="1" customWidth="1"/>
    <col min="49" max="16384" width="11.42578125" style="30"/>
  </cols>
  <sheetData>
    <row r="1" spans="2:48" ht="15.75" thickBot="1" x14ac:dyDescent="0.3"/>
    <row r="2" spans="2:48" x14ac:dyDescent="0.25">
      <c r="B2" s="110" t="s">
        <v>68</v>
      </c>
      <c r="C2" s="111"/>
      <c r="D2" s="112" t="s">
        <v>9</v>
      </c>
      <c r="E2" s="114" t="s">
        <v>10</v>
      </c>
      <c r="F2" s="114" t="s">
        <v>27</v>
      </c>
      <c r="G2" s="116" t="s">
        <v>3</v>
      </c>
      <c r="H2" s="118" t="s">
        <v>36</v>
      </c>
      <c r="I2" s="114" t="s">
        <v>57</v>
      </c>
      <c r="J2" s="114" t="s">
        <v>0</v>
      </c>
      <c r="K2" s="112"/>
      <c r="L2" s="114" t="s">
        <v>11</v>
      </c>
      <c r="M2" s="112"/>
      <c r="N2" s="114" t="s">
        <v>12</v>
      </c>
      <c r="O2" s="112"/>
      <c r="P2" s="114" t="s">
        <v>13</v>
      </c>
      <c r="Q2" s="112"/>
      <c r="R2" s="114" t="s">
        <v>14</v>
      </c>
      <c r="S2" s="112"/>
      <c r="T2" s="114" t="s">
        <v>1</v>
      </c>
      <c r="U2" s="114" t="s">
        <v>2</v>
      </c>
      <c r="V2" s="120" t="s">
        <v>15</v>
      </c>
    </row>
    <row r="3" spans="2:48" ht="15.75" thickBot="1" x14ac:dyDescent="0.3">
      <c r="B3" s="71" t="s">
        <v>44</v>
      </c>
      <c r="C3" s="73" t="s">
        <v>53</v>
      </c>
      <c r="D3" s="113"/>
      <c r="E3" s="115"/>
      <c r="F3" s="115"/>
      <c r="G3" s="117"/>
      <c r="H3" s="119"/>
      <c r="I3" s="115"/>
      <c r="J3" s="106" t="s">
        <v>51</v>
      </c>
      <c r="K3" s="72" t="s">
        <v>53</v>
      </c>
      <c r="L3" s="106" t="s">
        <v>52</v>
      </c>
      <c r="M3" s="72" t="s">
        <v>53</v>
      </c>
      <c r="N3" s="106" t="s">
        <v>52</v>
      </c>
      <c r="O3" s="72" t="s">
        <v>53</v>
      </c>
      <c r="P3" s="106" t="s">
        <v>52</v>
      </c>
      <c r="Q3" s="72" t="s">
        <v>53</v>
      </c>
      <c r="R3" s="106" t="s">
        <v>52</v>
      </c>
      <c r="S3" s="72" t="s">
        <v>53</v>
      </c>
      <c r="T3" s="115"/>
      <c r="U3" s="115"/>
      <c r="V3" s="121"/>
      <c r="W3"/>
      <c r="X3" s="30" t="s">
        <v>31</v>
      </c>
      <c r="Y3" s="30" t="s">
        <v>30</v>
      </c>
      <c r="Z3" s="30" t="s">
        <v>29</v>
      </c>
      <c r="AA3" s="30" t="s">
        <v>34</v>
      </c>
      <c r="AB3" s="30" t="s">
        <v>35</v>
      </c>
      <c r="AC3" s="30" t="s">
        <v>46</v>
      </c>
      <c r="AD3" s="30" t="s">
        <v>47</v>
      </c>
      <c r="AE3" s="30" t="s">
        <v>48</v>
      </c>
      <c r="AF3" s="30" t="s">
        <v>45</v>
      </c>
      <c r="AG3" s="30" t="s">
        <v>49</v>
      </c>
      <c r="AH3" s="30" t="s">
        <v>50</v>
      </c>
      <c r="AI3" s="30" t="s">
        <v>37</v>
      </c>
      <c r="AJ3" s="30" t="s">
        <v>38</v>
      </c>
      <c r="AK3" s="30" t="s">
        <v>43</v>
      </c>
      <c r="AL3" s="86" t="s">
        <v>8</v>
      </c>
      <c r="AM3" s="30" t="s">
        <v>5</v>
      </c>
      <c r="AN3" s="30" t="s">
        <v>7</v>
      </c>
      <c r="AO3" s="30" t="s">
        <v>26</v>
      </c>
      <c r="AP3" s="30" t="s">
        <v>33</v>
      </c>
      <c r="AQ3" s="30" t="s">
        <v>28</v>
      </c>
      <c r="AR3" s="30" t="s">
        <v>32</v>
      </c>
      <c r="AS3" s="30" t="s">
        <v>39</v>
      </c>
      <c r="AT3" s="30" t="s">
        <v>40</v>
      </c>
      <c r="AU3" s="30" t="s">
        <v>41</v>
      </c>
      <c r="AV3" s="30" t="s">
        <v>42</v>
      </c>
    </row>
    <row r="4" spans="2:48" x14ac:dyDescent="0.25">
      <c r="B4" s="33" t="str">
        <f t="shared" ref="B4:B23" si="0">IF(C4&gt;1,AE4+AH4,"")</f>
        <v/>
      </c>
      <c r="C4" s="68"/>
      <c r="D4" s="90"/>
      <c r="E4" s="91"/>
      <c r="F4" s="92"/>
      <c r="G4" s="54" t="str">
        <f t="shared" ref="G4:G12" ca="1" si="1">IFERROR(INDEX(TablaTurno,X4,Y4),"")</f>
        <v/>
      </c>
      <c r="H4" s="20"/>
      <c r="I4" s="20"/>
      <c r="J4" s="18"/>
      <c r="K4" s="56" t="str">
        <f t="shared" ref="K4:K23" ca="1" si="2">AB4</f>
        <v/>
      </c>
      <c r="L4" s="13"/>
      <c r="M4" s="57" t="str">
        <f t="shared" ref="M4:M23" ca="1" si="3">IFERROR(INDEX(TablaPjs,$X4,MATCH(L$2,ListaAtributos,0)),"")</f>
        <v/>
      </c>
      <c r="N4" s="12"/>
      <c r="O4" s="63" t="str">
        <f t="shared" ref="O4:O23" ca="1" si="4">IFERROR(INDEX(TablaPjs,$X4,MATCH(N$2,ListaAtributos,0)),"")</f>
        <v/>
      </c>
      <c r="P4" s="12"/>
      <c r="Q4" s="63" t="str">
        <f t="shared" ref="Q4:Q23" ca="1" si="5">IFERROR(INDEX(TablaPjs,$X4,MATCH(P$2,ListaAtributos,0)),"")</f>
        <v/>
      </c>
      <c r="R4" s="12"/>
      <c r="S4" s="83" t="str">
        <f t="shared" ref="S4:S23" ca="1" si="6">IFERROR(INDEX(TablaPjs,$X4,MATCH(R$2,ListaAtributos,0)),"")</f>
        <v/>
      </c>
      <c r="T4" s="85" t="str">
        <f t="shared" ref="T4:T12" ca="1" si="7">IFERROR(INDEX(TablaHA,X4,Y4),"")</f>
        <v/>
      </c>
      <c r="U4" s="55" t="str">
        <f t="shared" ref="U4:U12" ca="1" si="8">IFERROR(IF(INDEX(TablaHD,X4,Y4)&lt;&gt;"",INDEX(TablaHD,X4,Y4),INDEX(TablaPjs,X4,MATCH(TitleHD,ListaAtributos,0))),"")</f>
        <v/>
      </c>
      <c r="V4" s="80" t="str">
        <f ca="1">AJ4</f>
        <v/>
      </c>
      <c r="X4" s="30" t="e">
        <f t="shared" ref="X4:X23" ca="1" si="9">MATCH(D4,INDIRECT(ListaPjs),FALSE)+1</f>
        <v>#N/A</v>
      </c>
      <c r="Y4" s="30" t="e">
        <f t="shared" ref="Y4:Y23" ca="1" si="10">MATCH(E4,INDIRECT(Z4),0)</f>
        <v>#N/A</v>
      </c>
      <c r="Z4" s="30" t="e">
        <f t="shared" ref="Z4:Z23" ca="1" si="11">INDEX(TablasArmas,X4,2)</f>
        <v>#N/A</v>
      </c>
      <c r="AA4" s="30" t="str">
        <f t="shared" ref="AA4:AA23" ca="1" si="12">IFERROR(INDEX(TablaPjs,$X4,MATCH(J$2,ListaAtributos,0)),"")</f>
        <v/>
      </c>
      <c r="AB4" s="30" t="str">
        <f t="shared" ref="AB4:AB23" ca="1" si="13">IF(C4&lt;=1,AA4,AC4*AD4+AF4*AG4)</f>
        <v/>
      </c>
      <c r="AC4" s="30">
        <f t="shared" ref="AC4:AC23" ca="1" si="14">IF(U4="Acumulación",(1+MIN(IFERROR(C4-1,0),49)/2),MIN(IFERROR(C4,0),100))</f>
        <v>0</v>
      </c>
      <c r="AD4" s="30" t="e">
        <f t="shared" ref="AD4:AD23" ca="1" si="15">IF(U4="Acumulación",100*ROUNDDOWN(AA4/100,0),50*ROUNDDOWN(AA4/50,0))</f>
        <v>#VALUE!</v>
      </c>
      <c r="AE4" s="30" t="e">
        <f t="shared" ref="AE4:AE23" ca="1" si="16">MIN(AC4,MAX(0,ROUNDDOWN((J4-AF4*AG4)/AD4,0)))</f>
        <v>#VALUE!</v>
      </c>
      <c r="AF4" s="30">
        <f t="shared" ref="AF4:AF23" ca="1" si="17">IF(U4="Acumulación",MAX(0,MIN(C4-50)),MAX(0,MIN(C4-100)))</f>
        <v>0</v>
      </c>
      <c r="AG4" s="30">
        <f t="shared" ref="AG4:AG23" ca="1" si="18">IF(U4="Acumulación",IF(AA4&lt;1000,100,250),IF(AA4&lt;250,10,25))</f>
        <v>25</v>
      </c>
      <c r="AH4" s="30">
        <f t="shared" ref="AH4:AH23" ca="1" si="19">MIN(AF4,IF(AF4&gt;0,ROUNDDOWN(J4/AG4,0),0))</f>
        <v>0</v>
      </c>
      <c r="AI4" s="30" t="str">
        <f t="shared" ref="AI4:AI23" ca="1" si="20">IFERROR(INDEX(TablaDmg,X4,Y4),"")</f>
        <v/>
      </c>
      <c r="AJ4" s="30" t="str">
        <f t="shared" ref="AJ4:AJ23" ca="1" si="21">IF(C4&lt;=1,AI4,IF(OR(AT4="ACT",AT4="Potencial"),AI4,ROUNDDOWN(AS4*1.5/5,0)*5&amp;" "&amp;AT4&amp;IFERROR(" y "&amp;ROUNDDOWN(AU4*1.5/5,0)*5&amp;" "&amp;AV4,"")))</f>
        <v/>
      </c>
      <c r="AK4" s="30" t="str">
        <f t="shared" ref="AK4:AN23" ca="1" si="22">IFERROR(INDEX(TablaPjs,$X4,MATCH(AK$3,ListaAtributos,0)),"")</f>
        <v/>
      </c>
      <c r="AL4" s="30" t="str">
        <f t="shared" ca="1" si="22"/>
        <v/>
      </c>
      <c r="AM4" s="30" t="str">
        <f t="shared" ca="1" si="22"/>
        <v/>
      </c>
      <c r="AN4" s="30" t="str">
        <f t="shared" ca="1" si="22"/>
        <v/>
      </c>
      <c r="AO4" s="30" t="str">
        <f t="shared" ref="AO4:AO23" ca="1" si="23">IFERROR(INDEX(TablaPjs,$X4,MATCH("Ventajas",ListaAtributos,0)),"")</f>
        <v/>
      </c>
      <c r="AP4" s="30" t="b">
        <f t="shared" ref="AP4:AP23" ca="1" si="24">ISNUMBER(SEARCH("Mala suerte",AO4))</f>
        <v>0</v>
      </c>
      <c r="AQ4" s="30" t="b">
        <f ca="1">ISNUMBER(SEARCH("Buena suerte",AO4))</f>
        <v>0</v>
      </c>
      <c r="AR4" s="30" t="b">
        <f ca="1">ISNUMBER(SEARCH("La Sangre de Uroboros",AO4))</f>
        <v>0</v>
      </c>
      <c r="AS4" s="30" t="e">
        <f ca="1">VALUE(LEFT(AI4,SEARCH(" ",AI4)))</f>
        <v>#VALUE!</v>
      </c>
      <c r="AT4" s="30" t="e">
        <f ca="1">MID(AI4,SEARCH(" ",AI4)+1,IFERROR(SEARCH(" y ",AI4)-3,LEN(AI4)))</f>
        <v>#VALUE!</v>
      </c>
      <c r="AU4" s="30" t="e">
        <f ca="1">VALUE(MID(AI4,SEARCH(" ",AI4,SEARCH(" y ",AI4)+2),3))</f>
        <v>#VALUE!</v>
      </c>
      <c r="AV4" s="30" t="e">
        <f t="shared" ref="AV4:AV23" ca="1" si="25">RIGHT(AI4,LEN(AI4)-SEARCH(" ",AI4,SEARCH(" y ",AI4)+4))</f>
        <v>#VALUE!</v>
      </c>
    </row>
    <row r="5" spans="2:48" x14ac:dyDescent="0.25">
      <c r="B5" s="40" t="str">
        <f t="shared" si="0"/>
        <v/>
      </c>
      <c r="C5" s="69"/>
      <c r="D5" s="93"/>
      <c r="E5" s="94"/>
      <c r="F5" s="95"/>
      <c r="G5" s="58" t="str">
        <f t="shared" ca="1" si="1"/>
        <v/>
      </c>
      <c r="H5" s="17"/>
      <c r="I5" s="108"/>
      <c r="J5" s="16"/>
      <c r="K5" s="60" t="str">
        <f t="shared" ca="1" si="2"/>
        <v/>
      </c>
      <c r="L5" s="11"/>
      <c r="M5" s="61" t="str">
        <f t="shared" ca="1" si="3"/>
        <v/>
      </c>
      <c r="N5" s="11"/>
      <c r="O5" s="61" t="str">
        <f t="shared" ca="1" si="4"/>
        <v/>
      </c>
      <c r="P5" s="11"/>
      <c r="Q5" s="62" t="str">
        <f t="shared" ca="1" si="5"/>
        <v/>
      </c>
      <c r="R5" s="11"/>
      <c r="S5" s="62" t="str">
        <f t="shared" ca="1" si="6"/>
        <v/>
      </c>
      <c r="T5" s="59" t="str">
        <f t="shared" ca="1" si="7"/>
        <v/>
      </c>
      <c r="U5" s="59" t="str">
        <f t="shared" ca="1" si="8"/>
        <v/>
      </c>
      <c r="V5" s="81" t="str">
        <f t="shared" ref="V5:V23" ca="1" si="26">AJ5</f>
        <v/>
      </c>
      <c r="X5" s="30" t="e">
        <f t="shared" ca="1" si="9"/>
        <v>#N/A</v>
      </c>
      <c r="Y5" s="30" t="e">
        <f t="shared" ca="1" si="10"/>
        <v>#N/A</v>
      </c>
      <c r="Z5" s="30" t="e">
        <f t="shared" ca="1" si="11"/>
        <v>#N/A</v>
      </c>
      <c r="AA5" s="30" t="str">
        <f t="shared" ca="1" si="12"/>
        <v/>
      </c>
      <c r="AB5" s="30" t="str">
        <f t="shared" ca="1" si="13"/>
        <v/>
      </c>
      <c r="AC5" s="30">
        <f t="shared" ca="1" si="14"/>
        <v>0</v>
      </c>
      <c r="AD5" s="30" t="e">
        <f t="shared" ca="1" si="15"/>
        <v>#VALUE!</v>
      </c>
      <c r="AE5" s="30" t="e">
        <f t="shared" ca="1" si="16"/>
        <v>#VALUE!</v>
      </c>
      <c r="AF5" s="30">
        <f t="shared" ca="1" si="17"/>
        <v>0</v>
      </c>
      <c r="AG5" s="30">
        <f t="shared" ca="1" si="18"/>
        <v>25</v>
      </c>
      <c r="AH5" s="30">
        <f t="shared" ca="1" si="19"/>
        <v>0</v>
      </c>
      <c r="AI5" s="30" t="str">
        <f t="shared" ca="1" si="20"/>
        <v/>
      </c>
      <c r="AJ5" s="30" t="str">
        <f t="shared" ca="1" si="21"/>
        <v/>
      </c>
      <c r="AK5" s="30" t="str">
        <f t="shared" ca="1" si="22"/>
        <v/>
      </c>
      <c r="AL5" s="30" t="str">
        <f t="shared" ca="1" si="22"/>
        <v/>
      </c>
      <c r="AM5" s="30" t="str">
        <f t="shared" ca="1" si="22"/>
        <v/>
      </c>
      <c r="AN5" s="30" t="str">
        <f t="shared" ca="1" si="22"/>
        <v/>
      </c>
      <c r="AO5" s="30" t="str">
        <f t="shared" ca="1" si="23"/>
        <v/>
      </c>
      <c r="AP5" s="30" t="b">
        <f t="shared" ca="1" si="24"/>
        <v>0</v>
      </c>
      <c r="AQ5" s="30" t="b">
        <f t="shared" ref="AQ5:AQ23" ca="1" si="27">ISNUMBER(SEARCH("Buena suerte",AO5))</f>
        <v>0</v>
      </c>
      <c r="AR5" s="30" t="b">
        <f t="shared" ref="AR5:AR23" ca="1" si="28">ISNUMBER(SEARCH("La Sangre de Uroboros",AO5))</f>
        <v>0</v>
      </c>
      <c r="AS5" s="30" t="e">
        <f t="shared" ref="AS5:AS23" ca="1" si="29">VALUE(LEFT(AI5,SEARCH(" ",AI5)))</f>
        <v>#VALUE!</v>
      </c>
      <c r="AT5" s="30" t="e">
        <f t="shared" ref="AT5:AT23" ca="1" si="30">MID(AI5,SEARCH(" ",AI5)+1,IFERROR(SEARCH(" y ",AI5)-3,LEN(AI5)))</f>
        <v>#VALUE!</v>
      </c>
      <c r="AU5" s="30" t="e">
        <f t="shared" ref="AU5:AU23" ca="1" si="31">VALUE(MID(AI5,SEARCH(" ",AI5,SEARCH(" y ",AI5)+2),3))</f>
        <v>#VALUE!</v>
      </c>
      <c r="AV5" s="30" t="e">
        <f t="shared" ca="1" si="25"/>
        <v>#VALUE!</v>
      </c>
    </row>
    <row r="6" spans="2:48" x14ac:dyDescent="0.25">
      <c r="B6" s="33" t="str">
        <f t="shared" si="0"/>
        <v/>
      </c>
      <c r="C6" s="68"/>
      <c r="D6" s="90"/>
      <c r="E6" s="91"/>
      <c r="F6" s="92"/>
      <c r="G6" s="54" t="str">
        <f t="shared" ca="1" si="1"/>
        <v/>
      </c>
      <c r="H6" s="20"/>
      <c r="I6" s="20"/>
      <c r="J6" s="18"/>
      <c r="K6" s="56" t="str">
        <f t="shared" ca="1" si="2"/>
        <v/>
      </c>
      <c r="L6" s="12"/>
      <c r="M6" s="63" t="str">
        <f t="shared" ca="1" si="3"/>
        <v/>
      </c>
      <c r="N6" s="12"/>
      <c r="O6" s="63" t="str">
        <f t="shared" ca="1" si="4"/>
        <v/>
      </c>
      <c r="P6" s="12"/>
      <c r="Q6" s="63" t="str">
        <f t="shared" ca="1" si="5"/>
        <v/>
      </c>
      <c r="R6" s="12"/>
      <c r="S6" s="83" t="str">
        <f t="shared" ca="1" si="6"/>
        <v/>
      </c>
      <c r="T6" s="55" t="str">
        <f t="shared" ca="1" si="7"/>
        <v/>
      </c>
      <c r="U6" s="55" t="str">
        <f t="shared" ca="1" si="8"/>
        <v/>
      </c>
      <c r="V6" s="80" t="str">
        <f t="shared" ca="1" si="26"/>
        <v/>
      </c>
      <c r="X6" s="30" t="e">
        <f t="shared" ca="1" si="9"/>
        <v>#N/A</v>
      </c>
      <c r="Y6" s="30" t="e">
        <f t="shared" ca="1" si="10"/>
        <v>#N/A</v>
      </c>
      <c r="Z6" s="30" t="e">
        <f t="shared" ca="1" si="11"/>
        <v>#N/A</v>
      </c>
      <c r="AA6" s="30" t="str">
        <f t="shared" ca="1" si="12"/>
        <v/>
      </c>
      <c r="AB6" s="30" t="str">
        <f t="shared" ca="1" si="13"/>
        <v/>
      </c>
      <c r="AC6" s="30">
        <f t="shared" ca="1" si="14"/>
        <v>0</v>
      </c>
      <c r="AD6" s="30" t="e">
        <f t="shared" ca="1" si="15"/>
        <v>#VALUE!</v>
      </c>
      <c r="AE6" s="30" t="e">
        <f t="shared" ca="1" si="16"/>
        <v>#VALUE!</v>
      </c>
      <c r="AF6" s="30">
        <f t="shared" ca="1" si="17"/>
        <v>0</v>
      </c>
      <c r="AG6" s="30">
        <f t="shared" ca="1" si="18"/>
        <v>25</v>
      </c>
      <c r="AH6" s="30">
        <f t="shared" ca="1" si="19"/>
        <v>0</v>
      </c>
      <c r="AI6" s="30" t="str">
        <f t="shared" ca="1" si="20"/>
        <v/>
      </c>
      <c r="AJ6" s="30" t="str">
        <f t="shared" ca="1" si="21"/>
        <v/>
      </c>
      <c r="AK6" s="30" t="str">
        <f t="shared" ca="1" si="22"/>
        <v/>
      </c>
      <c r="AL6" s="30" t="str">
        <f t="shared" ca="1" si="22"/>
        <v/>
      </c>
      <c r="AM6" s="30" t="str">
        <f t="shared" ca="1" si="22"/>
        <v/>
      </c>
      <c r="AN6" s="30" t="str">
        <f t="shared" ca="1" si="22"/>
        <v/>
      </c>
      <c r="AO6" s="30" t="str">
        <f t="shared" ca="1" si="23"/>
        <v/>
      </c>
      <c r="AP6" s="30" t="b">
        <f t="shared" ca="1" si="24"/>
        <v>0</v>
      </c>
      <c r="AQ6" s="30" t="b">
        <f t="shared" ca="1" si="27"/>
        <v>0</v>
      </c>
      <c r="AR6" s="30" t="b">
        <f t="shared" ca="1" si="28"/>
        <v>0</v>
      </c>
      <c r="AS6" s="30" t="e">
        <f t="shared" ca="1" si="29"/>
        <v>#VALUE!</v>
      </c>
      <c r="AT6" s="30" t="e">
        <f t="shared" ca="1" si="30"/>
        <v>#VALUE!</v>
      </c>
      <c r="AU6" s="30" t="e">
        <f t="shared" ca="1" si="31"/>
        <v>#VALUE!</v>
      </c>
      <c r="AV6" s="30" t="e">
        <f t="shared" ca="1" si="25"/>
        <v>#VALUE!</v>
      </c>
    </row>
    <row r="7" spans="2:48" x14ac:dyDescent="0.25">
      <c r="B7" s="40" t="str">
        <f t="shared" si="0"/>
        <v/>
      </c>
      <c r="C7" s="69"/>
      <c r="D7" s="93"/>
      <c r="E7" s="94"/>
      <c r="F7" s="95"/>
      <c r="G7" s="58" t="str">
        <f t="shared" ca="1" si="1"/>
        <v/>
      </c>
      <c r="H7" s="17"/>
      <c r="I7" s="17"/>
      <c r="J7" s="16"/>
      <c r="K7" s="60" t="str">
        <f t="shared" ca="1" si="2"/>
        <v/>
      </c>
      <c r="L7" s="11"/>
      <c r="M7" s="61" t="str">
        <f t="shared" ca="1" si="3"/>
        <v/>
      </c>
      <c r="N7" s="11"/>
      <c r="O7" s="61" t="str">
        <f t="shared" ca="1" si="4"/>
        <v/>
      </c>
      <c r="P7" s="11"/>
      <c r="Q7" s="62" t="str">
        <f t="shared" ca="1" si="5"/>
        <v/>
      </c>
      <c r="R7" s="11"/>
      <c r="S7" s="62" t="str">
        <f t="shared" ca="1" si="6"/>
        <v/>
      </c>
      <c r="T7" s="59" t="str">
        <f t="shared" ca="1" si="7"/>
        <v/>
      </c>
      <c r="U7" s="59" t="str">
        <f t="shared" ca="1" si="8"/>
        <v/>
      </c>
      <c r="V7" s="81" t="str">
        <f t="shared" ca="1" si="26"/>
        <v/>
      </c>
      <c r="X7" s="30" t="e">
        <f t="shared" ca="1" si="9"/>
        <v>#N/A</v>
      </c>
      <c r="Y7" s="30" t="e">
        <f t="shared" ca="1" si="10"/>
        <v>#N/A</v>
      </c>
      <c r="Z7" s="30" t="e">
        <f t="shared" ca="1" si="11"/>
        <v>#N/A</v>
      </c>
      <c r="AA7" s="30" t="str">
        <f t="shared" ca="1" si="12"/>
        <v/>
      </c>
      <c r="AB7" s="30" t="str">
        <f t="shared" ca="1" si="13"/>
        <v/>
      </c>
      <c r="AC7" s="30">
        <f t="shared" ca="1" si="14"/>
        <v>0</v>
      </c>
      <c r="AD7" s="30" t="e">
        <f t="shared" ca="1" si="15"/>
        <v>#VALUE!</v>
      </c>
      <c r="AE7" s="30" t="e">
        <f t="shared" ca="1" si="16"/>
        <v>#VALUE!</v>
      </c>
      <c r="AF7" s="30">
        <f t="shared" ca="1" si="17"/>
        <v>0</v>
      </c>
      <c r="AG7" s="30">
        <f t="shared" ca="1" si="18"/>
        <v>25</v>
      </c>
      <c r="AH7" s="30">
        <f t="shared" ca="1" si="19"/>
        <v>0</v>
      </c>
      <c r="AI7" s="30" t="str">
        <f t="shared" ca="1" si="20"/>
        <v/>
      </c>
      <c r="AJ7" s="30" t="str">
        <f t="shared" ca="1" si="21"/>
        <v/>
      </c>
      <c r="AK7" s="30" t="str">
        <f t="shared" ca="1" si="22"/>
        <v/>
      </c>
      <c r="AL7" s="30" t="str">
        <f t="shared" ca="1" si="22"/>
        <v/>
      </c>
      <c r="AM7" s="30" t="str">
        <f t="shared" ca="1" si="22"/>
        <v/>
      </c>
      <c r="AN7" s="30" t="str">
        <f t="shared" ca="1" si="22"/>
        <v/>
      </c>
      <c r="AO7" s="30" t="str">
        <f t="shared" ca="1" si="23"/>
        <v/>
      </c>
      <c r="AP7" s="30" t="b">
        <f t="shared" ca="1" si="24"/>
        <v>0</v>
      </c>
      <c r="AQ7" s="30" t="b">
        <f t="shared" ca="1" si="27"/>
        <v>0</v>
      </c>
      <c r="AR7" s="30" t="b">
        <f t="shared" ca="1" si="28"/>
        <v>0</v>
      </c>
      <c r="AS7" s="30" t="e">
        <f t="shared" ca="1" si="29"/>
        <v>#VALUE!</v>
      </c>
      <c r="AT7" s="30" t="e">
        <f t="shared" ca="1" si="30"/>
        <v>#VALUE!</v>
      </c>
      <c r="AU7" s="30" t="e">
        <f t="shared" ca="1" si="31"/>
        <v>#VALUE!</v>
      </c>
      <c r="AV7" s="30" t="e">
        <f t="shared" ca="1" si="25"/>
        <v>#VALUE!</v>
      </c>
    </row>
    <row r="8" spans="2:48" x14ac:dyDescent="0.25">
      <c r="B8" s="33" t="str">
        <f t="shared" si="0"/>
        <v/>
      </c>
      <c r="C8" s="68"/>
      <c r="D8" s="90"/>
      <c r="E8" s="91"/>
      <c r="F8" s="92"/>
      <c r="G8" s="54" t="str">
        <f t="shared" ca="1" si="1"/>
        <v/>
      </c>
      <c r="H8" s="20"/>
      <c r="I8" s="20"/>
      <c r="J8" s="18"/>
      <c r="K8" s="56" t="str">
        <f t="shared" ca="1" si="2"/>
        <v/>
      </c>
      <c r="L8" s="12"/>
      <c r="M8" s="63" t="str">
        <f t="shared" ca="1" si="3"/>
        <v/>
      </c>
      <c r="N8" s="12"/>
      <c r="O8" s="63" t="str">
        <f t="shared" ca="1" si="4"/>
        <v/>
      </c>
      <c r="P8" s="12"/>
      <c r="Q8" s="63" t="str">
        <f t="shared" ca="1" si="5"/>
        <v/>
      </c>
      <c r="R8" s="12"/>
      <c r="S8" s="83" t="str">
        <f t="shared" ca="1" si="6"/>
        <v/>
      </c>
      <c r="T8" s="55" t="str">
        <f t="shared" ca="1" si="7"/>
        <v/>
      </c>
      <c r="U8" s="55" t="str">
        <f t="shared" ca="1" si="8"/>
        <v/>
      </c>
      <c r="V8" s="80" t="str">
        <f t="shared" ca="1" si="26"/>
        <v/>
      </c>
      <c r="X8" s="30" t="e">
        <f t="shared" ca="1" si="9"/>
        <v>#N/A</v>
      </c>
      <c r="Y8" s="30" t="e">
        <f t="shared" ca="1" si="10"/>
        <v>#N/A</v>
      </c>
      <c r="Z8" s="30" t="e">
        <f t="shared" ca="1" si="11"/>
        <v>#N/A</v>
      </c>
      <c r="AA8" s="30" t="str">
        <f t="shared" ca="1" si="12"/>
        <v/>
      </c>
      <c r="AB8" s="30" t="str">
        <f t="shared" ca="1" si="13"/>
        <v/>
      </c>
      <c r="AC8" s="30">
        <f t="shared" ca="1" si="14"/>
        <v>0</v>
      </c>
      <c r="AD8" s="30" t="e">
        <f t="shared" ca="1" si="15"/>
        <v>#VALUE!</v>
      </c>
      <c r="AE8" s="30" t="e">
        <f t="shared" ca="1" si="16"/>
        <v>#VALUE!</v>
      </c>
      <c r="AF8" s="30">
        <f t="shared" ca="1" si="17"/>
        <v>0</v>
      </c>
      <c r="AG8" s="30">
        <f t="shared" ca="1" si="18"/>
        <v>25</v>
      </c>
      <c r="AH8" s="30">
        <f t="shared" ca="1" si="19"/>
        <v>0</v>
      </c>
      <c r="AI8" s="30" t="str">
        <f t="shared" ca="1" si="20"/>
        <v/>
      </c>
      <c r="AJ8" s="30" t="str">
        <f t="shared" ca="1" si="21"/>
        <v/>
      </c>
      <c r="AK8" s="30" t="str">
        <f t="shared" ca="1" si="22"/>
        <v/>
      </c>
      <c r="AL8" s="30" t="str">
        <f t="shared" ca="1" si="22"/>
        <v/>
      </c>
      <c r="AM8" s="30" t="str">
        <f t="shared" ca="1" si="22"/>
        <v/>
      </c>
      <c r="AN8" s="30" t="str">
        <f t="shared" ca="1" si="22"/>
        <v/>
      </c>
      <c r="AO8" s="30" t="str">
        <f t="shared" ca="1" si="23"/>
        <v/>
      </c>
      <c r="AP8" s="30" t="b">
        <f t="shared" ca="1" si="24"/>
        <v>0</v>
      </c>
      <c r="AQ8" s="30" t="b">
        <f t="shared" ca="1" si="27"/>
        <v>0</v>
      </c>
      <c r="AR8" s="30" t="b">
        <f t="shared" ca="1" si="28"/>
        <v>0</v>
      </c>
      <c r="AS8" s="30" t="e">
        <f t="shared" ca="1" si="29"/>
        <v>#VALUE!</v>
      </c>
      <c r="AT8" s="30" t="e">
        <f t="shared" ca="1" si="30"/>
        <v>#VALUE!</v>
      </c>
      <c r="AU8" s="30" t="e">
        <f t="shared" ca="1" si="31"/>
        <v>#VALUE!</v>
      </c>
      <c r="AV8" s="30" t="e">
        <f t="shared" ca="1" si="25"/>
        <v>#VALUE!</v>
      </c>
    </row>
    <row r="9" spans="2:48" x14ac:dyDescent="0.25">
      <c r="B9" s="40" t="str">
        <f t="shared" si="0"/>
        <v/>
      </c>
      <c r="C9" s="69"/>
      <c r="D9" s="93"/>
      <c r="E9" s="94"/>
      <c r="F9" s="95"/>
      <c r="G9" s="58" t="str">
        <f t="shared" ca="1" si="1"/>
        <v/>
      </c>
      <c r="H9" s="17"/>
      <c r="I9" s="17"/>
      <c r="J9" s="16"/>
      <c r="K9" s="60" t="str">
        <f t="shared" ca="1" si="2"/>
        <v/>
      </c>
      <c r="L9" s="11"/>
      <c r="M9" s="61" t="str">
        <f t="shared" ca="1" si="3"/>
        <v/>
      </c>
      <c r="N9" s="11"/>
      <c r="O9" s="61" t="str">
        <f t="shared" ca="1" si="4"/>
        <v/>
      </c>
      <c r="P9" s="11"/>
      <c r="Q9" s="62" t="str">
        <f t="shared" ca="1" si="5"/>
        <v/>
      </c>
      <c r="R9" s="11"/>
      <c r="S9" s="62" t="str">
        <f t="shared" ca="1" si="6"/>
        <v/>
      </c>
      <c r="T9" s="59" t="str">
        <f t="shared" ca="1" si="7"/>
        <v/>
      </c>
      <c r="U9" s="59" t="str">
        <f t="shared" ca="1" si="8"/>
        <v/>
      </c>
      <c r="V9" s="81" t="str">
        <f t="shared" ca="1" si="26"/>
        <v/>
      </c>
      <c r="X9" s="30" t="e">
        <f t="shared" ca="1" si="9"/>
        <v>#N/A</v>
      </c>
      <c r="Y9" s="30" t="e">
        <f t="shared" ca="1" si="10"/>
        <v>#N/A</v>
      </c>
      <c r="Z9" s="30" t="e">
        <f t="shared" ca="1" si="11"/>
        <v>#N/A</v>
      </c>
      <c r="AA9" s="30" t="str">
        <f t="shared" ca="1" si="12"/>
        <v/>
      </c>
      <c r="AB9" s="30" t="str">
        <f t="shared" ca="1" si="13"/>
        <v/>
      </c>
      <c r="AC9" s="30">
        <f t="shared" ca="1" si="14"/>
        <v>0</v>
      </c>
      <c r="AD9" s="30" t="e">
        <f t="shared" ca="1" si="15"/>
        <v>#VALUE!</v>
      </c>
      <c r="AE9" s="30" t="e">
        <f t="shared" ca="1" si="16"/>
        <v>#VALUE!</v>
      </c>
      <c r="AF9" s="30">
        <f t="shared" ca="1" si="17"/>
        <v>0</v>
      </c>
      <c r="AG9" s="30">
        <f t="shared" ca="1" si="18"/>
        <v>25</v>
      </c>
      <c r="AH9" s="30">
        <f t="shared" ca="1" si="19"/>
        <v>0</v>
      </c>
      <c r="AI9" s="30" t="str">
        <f t="shared" ca="1" si="20"/>
        <v/>
      </c>
      <c r="AJ9" s="30" t="str">
        <f t="shared" ca="1" si="21"/>
        <v/>
      </c>
      <c r="AK9" s="30" t="str">
        <f t="shared" ca="1" si="22"/>
        <v/>
      </c>
      <c r="AL9" s="30" t="str">
        <f t="shared" ca="1" si="22"/>
        <v/>
      </c>
      <c r="AM9" s="30" t="str">
        <f t="shared" ca="1" si="22"/>
        <v/>
      </c>
      <c r="AN9" s="30" t="str">
        <f t="shared" ca="1" si="22"/>
        <v/>
      </c>
      <c r="AO9" s="30" t="str">
        <f t="shared" ca="1" si="23"/>
        <v/>
      </c>
      <c r="AP9" s="30" t="b">
        <f t="shared" ca="1" si="24"/>
        <v>0</v>
      </c>
      <c r="AQ9" s="30" t="b">
        <f t="shared" ca="1" si="27"/>
        <v>0</v>
      </c>
      <c r="AR9" s="30" t="b">
        <f t="shared" ca="1" si="28"/>
        <v>0</v>
      </c>
      <c r="AS9" s="30" t="e">
        <f t="shared" ca="1" si="29"/>
        <v>#VALUE!</v>
      </c>
      <c r="AT9" s="30" t="e">
        <f t="shared" ca="1" si="30"/>
        <v>#VALUE!</v>
      </c>
      <c r="AU9" s="30" t="e">
        <f t="shared" ca="1" si="31"/>
        <v>#VALUE!</v>
      </c>
      <c r="AV9" s="30" t="e">
        <f t="shared" ca="1" si="25"/>
        <v>#VALUE!</v>
      </c>
    </row>
    <row r="10" spans="2:48" x14ac:dyDescent="0.25">
      <c r="B10" s="33" t="str">
        <f t="shared" si="0"/>
        <v/>
      </c>
      <c r="C10" s="68"/>
      <c r="D10" s="90"/>
      <c r="E10" s="91"/>
      <c r="F10" s="92"/>
      <c r="G10" s="54" t="str">
        <f t="shared" ca="1" si="1"/>
        <v/>
      </c>
      <c r="H10" s="20"/>
      <c r="I10" s="20"/>
      <c r="J10" s="18"/>
      <c r="K10" s="56" t="str">
        <f t="shared" ca="1" si="2"/>
        <v/>
      </c>
      <c r="L10" s="12"/>
      <c r="M10" s="63" t="str">
        <f t="shared" ca="1" si="3"/>
        <v/>
      </c>
      <c r="N10" s="12"/>
      <c r="O10" s="63" t="str">
        <f t="shared" ca="1" si="4"/>
        <v/>
      </c>
      <c r="P10" s="12"/>
      <c r="Q10" s="63" t="str">
        <f t="shared" ca="1" si="5"/>
        <v/>
      </c>
      <c r="R10" s="12"/>
      <c r="S10" s="83" t="str">
        <f t="shared" ca="1" si="6"/>
        <v/>
      </c>
      <c r="T10" s="55" t="str">
        <f t="shared" ca="1" si="7"/>
        <v/>
      </c>
      <c r="U10" s="55" t="str">
        <f t="shared" ca="1" si="8"/>
        <v/>
      </c>
      <c r="V10" s="80" t="str">
        <f t="shared" ca="1" si="26"/>
        <v/>
      </c>
      <c r="X10" s="30" t="e">
        <f t="shared" ca="1" si="9"/>
        <v>#N/A</v>
      </c>
      <c r="Y10" s="30" t="e">
        <f t="shared" ca="1" si="10"/>
        <v>#N/A</v>
      </c>
      <c r="Z10" s="30" t="e">
        <f t="shared" ca="1" si="11"/>
        <v>#N/A</v>
      </c>
      <c r="AA10" s="30" t="str">
        <f t="shared" ca="1" si="12"/>
        <v/>
      </c>
      <c r="AB10" s="30" t="str">
        <f t="shared" ca="1" si="13"/>
        <v/>
      </c>
      <c r="AC10" s="30">
        <f t="shared" ca="1" si="14"/>
        <v>0</v>
      </c>
      <c r="AD10" s="30" t="e">
        <f t="shared" ca="1" si="15"/>
        <v>#VALUE!</v>
      </c>
      <c r="AE10" s="30" t="e">
        <f t="shared" ca="1" si="16"/>
        <v>#VALUE!</v>
      </c>
      <c r="AF10" s="30">
        <f t="shared" ca="1" si="17"/>
        <v>0</v>
      </c>
      <c r="AG10" s="30">
        <f t="shared" ca="1" si="18"/>
        <v>25</v>
      </c>
      <c r="AH10" s="30">
        <f t="shared" ca="1" si="19"/>
        <v>0</v>
      </c>
      <c r="AI10" s="30" t="str">
        <f t="shared" ca="1" si="20"/>
        <v/>
      </c>
      <c r="AJ10" s="30" t="str">
        <f t="shared" ca="1" si="21"/>
        <v/>
      </c>
      <c r="AK10" s="30" t="str">
        <f t="shared" ca="1" si="22"/>
        <v/>
      </c>
      <c r="AL10" s="30" t="str">
        <f t="shared" ca="1" si="22"/>
        <v/>
      </c>
      <c r="AM10" s="30" t="str">
        <f t="shared" ca="1" si="22"/>
        <v/>
      </c>
      <c r="AN10" s="30" t="str">
        <f t="shared" ca="1" si="22"/>
        <v/>
      </c>
      <c r="AO10" s="30" t="str">
        <f t="shared" ca="1" si="23"/>
        <v/>
      </c>
      <c r="AP10" s="30" t="b">
        <f t="shared" ca="1" si="24"/>
        <v>0</v>
      </c>
      <c r="AQ10" s="30" t="b">
        <f t="shared" ca="1" si="27"/>
        <v>0</v>
      </c>
      <c r="AR10" s="30" t="b">
        <f t="shared" ca="1" si="28"/>
        <v>0</v>
      </c>
      <c r="AS10" s="30" t="e">
        <f t="shared" ca="1" si="29"/>
        <v>#VALUE!</v>
      </c>
      <c r="AT10" s="30" t="e">
        <f t="shared" ca="1" si="30"/>
        <v>#VALUE!</v>
      </c>
      <c r="AU10" s="30" t="e">
        <f t="shared" ca="1" si="31"/>
        <v>#VALUE!</v>
      </c>
      <c r="AV10" s="30" t="e">
        <f t="shared" ca="1" si="25"/>
        <v>#VALUE!</v>
      </c>
    </row>
    <row r="11" spans="2:48" x14ac:dyDescent="0.25">
      <c r="B11" s="40" t="str">
        <f t="shared" si="0"/>
        <v/>
      </c>
      <c r="C11" s="69"/>
      <c r="D11" s="93"/>
      <c r="E11" s="94"/>
      <c r="F11" s="95"/>
      <c r="G11" s="58" t="str">
        <f t="shared" ca="1" si="1"/>
        <v/>
      </c>
      <c r="H11" s="17"/>
      <c r="I11" s="17"/>
      <c r="J11" s="16"/>
      <c r="K11" s="60" t="str">
        <f t="shared" ca="1" si="2"/>
        <v/>
      </c>
      <c r="L11" s="11"/>
      <c r="M11" s="61" t="str">
        <f t="shared" ca="1" si="3"/>
        <v/>
      </c>
      <c r="N11" s="11"/>
      <c r="O11" s="61" t="str">
        <f t="shared" ca="1" si="4"/>
        <v/>
      </c>
      <c r="P11" s="11"/>
      <c r="Q11" s="62" t="str">
        <f t="shared" ca="1" si="5"/>
        <v/>
      </c>
      <c r="R11" s="11"/>
      <c r="S11" s="62" t="str">
        <f t="shared" ca="1" si="6"/>
        <v/>
      </c>
      <c r="T11" s="59" t="str">
        <f t="shared" ca="1" si="7"/>
        <v/>
      </c>
      <c r="U11" s="59" t="str">
        <f t="shared" ca="1" si="8"/>
        <v/>
      </c>
      <c r="V11" s="81" t="str">
        <f t="shared" ca="1" si="26"/>
        <v/>
      </c>
      <c r="X11" s="30" t="e">
        <f t="shared" ca="1" si="9"/>
        <v>#N/A</v>
      </c>
      <c r="Y11" s="30" t="e">
        <f t="shared" ca="1" si="10"/>
        <v>#N/A</v>
      </c>
      <c r="Z11" s="30" t="e">
        <f t="shared" ca="1" si="11"/>
        <v>#N/A</v>
      </c>
      <c r="AA11" s="30" t="str">
        <f t="shared" ca="1" si="12"/>
        <v/>
      </c>
      <c r="AB11" s="30" t="str">
        <f t="shared" ca="1" si="13"/>
        <v/>
      </c>
      <c r="AC11" s="30">
        <f t="shared" ca="1" si="14"/>
        <v>0</v>
      </c>
      <c r="AD11" s="30" t="e">
        <f t="shared" ca="1" si="15"/>
        <v>#VALUE!</v>
      </c>
      <c r="AE11" s="30" t="e">
        <f t="shared" ca="1" si="16"/>
        <v>#VALUE!</v>
      </c>
      <c r="AF11" s="30">
        <f t="shared" ca="1" si="17"/>
        <v>0</v>
      </c>
      <c r="AG11" s="30">
        <f t="shared" ca="1" si="18"/>
        <v>25</v>
      </c>
      <c r="AH11" s="30">
        <f t="shared" ca="1" si="19"/>
        <v>0</v>
      </c>
      <c r="AI11" s="30" t="str">
        <f t="shared" ca="1" si="20"/>
        <v/>
      </c>
      <c r="AJ11" s="30" t="str">
        <f t="shared" ca="1" si="21"/>
        <v/>
      </c>
      <c r="AK11" s="30" t="str">
        <f t="shared" ca="1" si="22"/>
        <v/>
      </c>
      <c r="AL11" s="30" t="str">
        <f t="shared" ca="1" si="22"/>
        <v/>
      </c>
      <c r="AM11" s="30" t="str">
        <f t="shared" ca="1" si="22"/>
        <v/>
      </c>
      <c r="AN11" s="30" t="str">
        <f t="shared" ca="1" si="22"/>
        <v/>
      </c>
      <c r="AO11" s="30" t="str">
        <f t="shared" ca="1" si="23"/>
        <v/>
      </c>
      <c r="AP11" s="30" t="b">
        <f t="shared" ca="1" si="24"/>
        <v>0</v>
      </c>
      <c r="AQ11" s="30" t="b">
        <f t="shared" ca="1" si="27"/>
        <v>0</v>
      </c>
      <c r="AR11" s="30" t="b">
        <f t="shared" ca="1" si="28"/>
        <v>0</v>
      </c>
      <c r="AS11" s="30" t="e">
        <f t="shared" ca="1" si="29"/>
        <v>#VALUE!</v>
      </c>
      <c r="AT11" s="30" t="e">
        <f t="shared" ca="1" si="30"/>
        <v>#VALUE!</v>
      </c>
      <c r="AU11" s="30" t="e">
        <f t="shared" ca="1" si="31"/>
        <v>#VALUE!</v>
      </c>
      <c r="AV11" s="30" t="e">
        <f t="shared" ca="1" si="25"/>
        <v>#VALUE!</v>
      </c>
    </row>
    <row r="12" spans="2:48" x14ac:dyDescent="0.25">
      <c r="B12" s="33" t="str">
        <f t="shared" si="0"/>
        <v/>
      </c>
      <c r="C12" s="68"/>
      <c r="D12" s="90"/>
      <c r="E12" s="91"/>
      <c r="F12" s="92"/>
      <c r="G12" s="54" t="str">
        <f t="shared" ca="1" si="1"/>
        <v/>
      </c>
      <c r="H12" s="20"/>
      <c r="I12" s="20"/>
      <c r="J12" s="18"/>
      <c r="K12" s="56" t="str">
        <f t="shared" ca="1" si="2"/>
        <v/>
      </c>
      <c r="L12" s="12"/>
      <c r="M12" s="63" t="str">
        <f t="shared" ca="1" si="3"/>
        <v/>
      </c>
      <c r="N12" s="12"/>
      <c r="O12" s="63" t="str">
        <f t="shared" ca="1" si="4"/>
        <v/>
      </c>
      <c r="P12" s="12"/>
      <c r="Q12" s="63" t="str">
        <f t="shared" ca="1" si="5"/>
        <v/>
      </c>
      <c r="R12" s="12"/>
      <c r="S12" s="83" t="str">
        <f t="shared" ca="1" si="6"/>
        <v/>
      </c>
      <c r="T12" s="55" t="str">
        <f t="shared" ca="1" si="7"/>
        <v/>
      </c>
      <c r="U12" s="55" t="str">
        <f t="shared" ca="1" si="8"/>
        <v/>
      </c>
      <c r="V12" s="80" t="str">
        <f t="shared" ca="1" si="26"/>
        <v/>
      </c>
      <c r="X12" s="30" t="e">
        <f t="shared" ca="1" si="9"/>
        <v>#N/A</v>
      </c>
      <c r="Y12" s="30" t="e">
        <f t="shared" ca="1" si="10"/>
        <v>#N/A</v>
      </c>
      <c r="Z12" s="30" t="e">
        <f t="shared" ca="1" si="11"/>
        <v>#N/A</v>
      </c>
      <c r="AA12" s="30" t="str">
        <f t="shared" ca="1" si="12"/>
        <v/>
      </c>
      <c r="AB12" s="30" t="str">
        <f t="shared" ca="1" si="13"/>
        <v/>
      </c>
      <c r="AC12" s="30">
        <f t="shared" ca="1" si="14"/>
        <v>0</v>
      </c>
      <c r="AD12" s="30" t="e">
        <f t="shared" ca="1" si="15"/>
        <v>#VALUE!</v>
      </c>
      <c r="AE12" s="30" t="e">
        <f t="shared" ca="1" si="16"/>
        <v>#VALUE!</v>
      </c>
      <c r="AF12" s="30">
        <f t="shared" ca="1" si="17"/>
        <v>0</v>
      </c>
      <c r="AG12" s="30">
        <f t="shared" ca="1" si="18"/>
        <v>25</v>
      </c>
      <c r="AH12" s="30">
        <f t="shared" ca="1" si="19"/>
        <v>0</v>
      </c>
      <c r="AI12" s="30" t="str">
        <f t="shared" ca="1" si="20"/>
        <v/>
      </c>
      <c r="AJ12" s="30" t="str">
        <f t="shared" ca="1" si="21"/>
        <v/>
      </c>
      <c r="AK12" s="30" t="str">
        <f t="shared" ca="1" si="22"/>
        <v/>
      </c>
      <c r="AL12" s="30" t="str">
        <f t="shared" ca="1" si="22"/>
        <v/>
      </c>
      <c r="AM12" s="30" t="str">
        <f t="shared" ca="1" si="22"/>
        <v/>
      </c>
      <c r="AN12" s="30" t="str">
        <f t="shared" ca="1" si="22"/>
        <v/>
      </c>
      <c r="AO12" s="30" t="str">
        <f t="shared" ca="1" si="23"/>
        <v/>
      </c>
      <c r="AP12" s="30" t="b">
        <f t="shared" ca="1" si="24"/>
        <v>0</v>
      </c>
      <c r="AQ12" s="30" t="b">
        <f t="shared" ca="1" si="27"/>
        <v>0</v>
      </c>
      <c r="AR12" s="30" t="b">
        <f t="shared" ca="1" si="28"/>
        <v>0</v>
      </c>
      <c r="AS12" s="30" t="e">
        <f t="shared" ca="1" si="29"/>
        <v>#VALUE!</v>
      </c>
      <c r="AT12" s="30" t="e">
        <f t="shared" ca="1" si="30"/>
        <v>#VALUE!</v>
      </c>
      <c r="AU12" s="30" t="e">
        <f t="shared" ca="1" si="31"/>
        <v>#VALUE!</v>
      </c>
      <c r="AV12" s="30" t="e">
        <f t="shared" ca="1" si="25"/>
        <v>#VALUE!</v>
      </c>
    </row>
    <row r="13" spans="2:48" x14ac:dyDescent="0.25">
      <c r="B13" s="40" t="str">
        <f t="shared" si="0"/>
        <v/>
      </c>
      <c r="C13" s="69"/>
      <c r="D13" s="93"/>
      <c r="E13" s="94"/>
      <c r="F13" s="95"/>
      <c r="G13" s="58" t="str">
        <f t="shared" ref="G13:G21" ca="1" si="32">IFERROR(INDEX(TablaTurno,X13,Y13),"")</f>
        <v/>
      </c>
      <c r="H13" s="17"/>
      <c r="I13" s="17"/>
      <c r="J13" s="16"/>
      <c r="K13" s="60" t="str">
        <f t="shared" ca="1" si="2"/>
        <v/>
      </c>
      <c r="L13" s="11"/>
      <c r="M13" s="61" t="str">
        <f t="shared" ca="1" si="3"/>
        <v/>
      </c>
      <c r="N13" s="11"/>
      <c r="O13" s="61" t="str">
        <f t="shared" ca="1" si="4"/>
        <v/>
      </c>
      <c r="P13" s="11"/>
      <c r="Q13" s="62" t="str">
        <f t="shared" ca="1" si="5"/>
        <v/>
      </c>
      <c r="R13" s="11"/>
      <c r="S13" s="62" t="str">
        <f t="shared" ca="1" si="6"/>
        <v/>
      </c>
      <c r="T13" s="59" t="str">
        <f t="shared" ref="T13:T21" ca="1" si="33">IFERROR(INDEX(TablaHA,X13,Y13),"")</f>
        <v/>
      </c>
      <c r="U13" s="59" t="str">
        <f t="shared" ref="U13:U21" ca="1" si="34">IFERROR(IF(INDEX(TablaHD,X13,Y13)&lt;&gt;"",INDEX(TablaHD,X13,Y13),INDEX(TablaPjs,X13,MATCH(TitleHD,ListaAtributos,0))),"")</f>
        <v/>
      </c>
      <c r="V13" s="81" t="str">
        <f t="shared" ca="1" si="26"/>
        <v/>
      </c>
      <c r="X13" s="30" t="e">
        <f t="shared" ca="1" si="9"/>
        <v>#N/A</v>
      </c>
      <c r="Y13" s="30" t="e">
        <f t="shared" ca="1" si="10"/>
        <v>#N/A</v>
      </c>
      <c r="Z13" s="30" t="e">
        <f t="shared" ca="1" si="11"/>
        <v>#N/A</v>
      </c>
      <c r="AA13" s="30" t="str">
        <f t="shared" ca="1" si="12"/>
        <v/>
      </c>
      <c r="AB13" s="30" t="str">
        <f t="shared" ca="1" si="13"/>
        <v/>
      </c>
      <c r="AC13" s="30">
        <f t="shared" ca="1" si="14"/>
        <v>0</v>
      </c>
      <c r="AD13" s="30" t="e">
        <f t="shared" ca="1" si="15"/>
        <v>#VALUE!</v>
      </c>
      <c r="AE13" s="30" t="e">
        <f t="shared" ca="1" si="16"/>
        <v>#VALUE!</v>
      </c>
      <c r="AF13" s="30">
        <f t="shared" ca="1" si="17"/>
        <v>0</v>
      </c>
      <c r="AG13" s="30">
        <f t="shared" ca="1" si="18"/>
        <v>25</v>
      </c>
      <c r="AH13" s="30">
        <f t="shared" ca="1" si="19"/>
        <v>0</v>
      </c>
      <c r="AI13" s="30" t="str">
        <f t="shared" ca="1" si="20"/>
        <v/>
      </c>
      <c r="AJ13" s="30" t="str">
        <f t="shared" ca="1" si="21"/>
        <v/>
      </c>
      <c r="AK13" s="30" t="str">
        <f t="shared" ca="1" si="22"/>
        <v/>
      </c>
      <c r="AL13" s="30" t="str">
        <f t="shared" ca="1" si="22"/>
        <v/>
      </c>
      <c r="AM13" s="30" t="str">
        <f t="shared" ca="1" si="22"/>
        <v/>
      </c>
      <c r="AN13" s="30" t="str">
        <f t="shared" ca="1" si="22"/>
        <v/>
      </c>
      <c r="AO13" s="30" t="str">
        <f t="shared" ca="1" si="23"/>
        <v/>
      </c>
      <c r="AP13" s="30" t="b">
        <f t="shared" ca="1" si="24"/>
        <v>0</v>
      </c>
      <c r="AQ13" s="30" t="b">
        <f t="shared" ca="1" si="27"/>
        <v>0</v>
      </c>
      <c r="AR13" s="30" t="b">
        <f t="shared" ca="1" si="28"/>
        <v>0</v>
      </c>
      <c r="AS13" s="30" t="e">
        <f t="shared" ca="1" si="29"/>
        <v>#VALUE!</v>
      </c>
      <c r="AT13" s="30" t="e">
        <f t="shared" ca="1" si="30"/>
        <v>#VALUE!</v>
      </c>
      <c r="AU13" s="30" t="e">
        <f t="shared" ca="1" si="31"/>
        <v>#VALUE!</v>
      </c>
      <c r="AV13" s="30" t="e">
        <f t="shared" ca="1" si="25"/>
        <v>#VALUE!</v>
      </c>
    </row>
    <row r="14" spans="2:48" x14ac:dyDescent="0.25">
      <c r="B14" s="33" t="str">
        <f t="shared" si="0"/>
        <v/>
      </c>
      <c r="C14" s="68"/>
      <c r="D14" s="90"/>
      <c r="E14" s="91"/>
      <c r="F14" s="92"/>
      <c r="G14" s="54" t="str">
        <f t="shared" ca="1" si="32"/>
        <v/>
      </c>
      <c r="H14" s="20"/>
      <c r="I14" s="20"/>
      <c r="J14" s="18"/>
      <c r="K14" s="56" t="str">
        <f t="shared" ca="1" si="2"/>
        <v/>
      </c>
      <c r="L14" s="12"/>
      <c r="M14" s="63" t="str">
        <f t="shared" ca="1" si="3"/>
        <v/>
      </c>
      <c r="N14" s="13"/>
      <c r="O14" s="57" t="str">
        <f t="shared" ca="1" si="4"/>
        <v/>
      </c>
      <c r="P14" s="13"/>
      <c r="Q14" s="56" t="str">
        <f t="shared" ca="1" si="5"/>
        <v/>
      </c>
      <c r="R14" s="12"/>
      <c r="S14" s="83" t="str">
        <f t="shared" ca="1" si="6"/>
        <v/>
      </c>
      <c r="T14" s="55" t="str">
        <f t="shared" ca="1" si="33"/>
        <v/>
      </c>
      <c r="U14" s="55" t="str">
        <f t="shared" ca="1" si="34"/>
        <v/>
      </c>
      <c r="V14" s="80" t="str">
        <f t="shared" ca="1" si="26"/>
        <v/>
      </c>
      <c r="X14" s="30" t="e">
        <f t="shared" ca="1" si="9"/>
        <v>#N/A</v>
      </c>
      <c r="Y14" s="30" t="e">
        <f t="shared" ca="1" si="10"/>
        <v>#N/A</v>
      </c>
      <c r="Z14" s="30" t="e">
        <f t="shared" ca="1" si="11"/>
        <v>#N/A</v>
      </c>
      <c r="AA14" s="30" t="str">
        <f t="shared" ca="1" si="12"/>
        <v/>
      </c>
      <c r="AB14" s="30" t="str">
        <f t="shared" ca="1" si="13"/>
        <v/>
      </c>
      <c r="AC14" s="30">
        <f t="shared" ca="1" si="14"/>
        <v>0</v>
      </c>
      <c r="AD14" s="30" t="e">
        <f t="shared" ca="1" si="15"/>
        <v>#VALUE!</v>
      </c>
      <c r="AE14" s="30" t="e">
        <f t="shared" ca="1" si="16"/>
        <v>#VALUE!</v>
      </c>
      <c r="AF14" s="30">
        <f t="shared" ca="1" si="17"/>
        <v>0</v>
      </c>
      <c r="AG14" s="30">
        <f t="shared" ca="1" si="18"/>
        <v>25</v>
      </c>
      <c r="AH14" s="30">
        <f t="shared" ca="1" si="19"/>
        <v>0</v>
      </c>
      <c r="AI14" s="30" t="str">
        <f t="shared" ca="1" si="20"/>
        <v/>
      </c>
      <c r="AJ14" s="30" t="str">
        <f t="shared" ca="1" si="21"/>
        <v/>
      </c>
      <c r="AK14" s="30" t="str">
        <f t="shared" ca="1" si="22"/>
        <v/>
      </c>
      <c r="AL14" s="30" t="str">
        <f t="shared" ca="1" si="22"/>
        <v/>
      </c>
      <c r="AM14" s="30" t="str">
        <f t="shared" ca="1" si="22"/>
        <v/>
      </c>
      <c r="AN14" s="30" t="str">
        <f t="shared" ca="1" si="22"/>
        <v/>
      </c>
      <c r="AO14" s="30" t="str">
        <f t="shared" ca="1" si="23"/>
        <v/>
      </c>
      <c r="AP14" s="30" t="b">
        <f t="shared" ca="1" si="24"/>
        <v>0</v>
      </c>
      <c r="AQ14" s="30" t="b">
        <f t="shared" ca="1" si="27"/>
        <v>0</v>
      </c>
      <c r="AR14" s="30" t="b">
        <f t="shared" ca="1" si="28"/>
        <v>0</v>
      </c>
      <c r="AS14" s="30" t="e">
        <f t="shared" ca="1" si="29"/>
        <v>#VALUE!</v>
      </c>
      <c r="AT14" s="30" t="e">
        <f t="shared" ca="1" si="30"/>
        <v>#VALUE!</v>
      </c>
      <c r="AU14" s="30" t="e">
        <f t="shared" ca="1" si="31"/>
        <v>#VALUE!</v>
      </c>
      <c r="AV14" s="30" t="e">
        <f t="shared" ca="1" si="25"/>
        <v>#VALUE!</v>
      </c>
    </row>
    <row r="15" spans="2:48" x14ac:dyDescent="0.25">
      <c r="B15" s="40" t="str">
        <f t="shared" si="0"/>
        <v/>
      </c>
      <c r="C15" s="69"/>
      <c r="D15" s="93"/>
      <c r="E15" s="94"/>
      <c r="F15" s="95"/>
      <c r="G15" s="58" t="str">
        <f t="shared" ca="1" si="32"/>
        <v/>
      </c>
      <c r="H15" s="17"/>
      <c r="I15" s="17"/>
      <c r="J15" s="19"/>
      <c r="K15" s="62" t="str">
        <f t="shared" ca="1" si="2"/>
        <v/>
      </c>
      <c r="L15" s="11"/>
      <c r="M15" s="61" t="str">
        <f t="shared" ca="1" si="3"/>
        <v/>
      </c>
      <c r="N15" s="11"/>
      <c r="O15" s="61" t="str">
        <f t="shared" ca="1" si="4"/>
        <v/>
      </c>
      <c r="P15" s="11"/>
      <c r="Q15" s="62" t="str">
        <f t="shared" ca="1" si="5"/>
        <v/>
      </c>
      <c r="R15" s="11"/>
      <c r="S15" s="62" t="str">
        <f t="shared" ca="1" si="6"/>
        <v/>
      </c>
      <c r="T15" s="59" t="str">
        <f t="shared" ca="1" si="33"/>
        <v/>
      </c>
      <c r="U15" s="59" t="str">
        <f t="shared" ca="1" si="34"/>
        <v/>
      </c>
      <c r="V15" s="81" t="str">
        <f t="shared" ca="1" si="26"/>
        <v/>
      </c>
      <c r="X15" s="30" t="e">
        <f t="shared" ca="1" si="9"/>
        <v>#N/A</v>
      </c>
      <c r="Y15" s="30" t="e">
        <f t="shared" ca="1" si="10"/>
        <v>#N/A</v>
      </c>
      <c r="Z15" s="30" t="e">
        <f t="shared" ca="1" si="11"/>
        <v>#N/A</v>
      </c>
      <c r="AA15" s="30" t="str">
        <f t="shared" ca="1" si="12"/>
        <v/>
      </c>
      <c r="AB15" s="30" t="str">
        <f t="shared" ca="1" si="13"/>
        <v/>
      </c>
      <c r="AC15" s="30">
        <f t="shared" ca="1" si="14"/>
        <v>0</v>
      </c>
      <c r="AD15" s="30" t="e">
        <f t="shared" ca="1" si="15"/>
        <v>#VALUE!</v>
      </c>
      <c r="AE15" s="30" t="e">
        <f t="shared" ca="1" si="16"/>
        <v>#VALUE!</v>
      </c>
      <c r="AF15" s="30">
        <f t="shared" ca="1" si="17"/>
        <v>0</v>
      </c>
      <c r="AG15" s="30">
        <f t="shared" ca="1" si="18"/>
        <v>25</v>
      </c>
      <c r="AH15" s="30">
        <f t="shared" ca="1" si="19"/>
        <v>0</v>
      </c>
      <c r="AI15" s="30" t="str">
        <f t="shared" ca="1" si="20"/>
        <v/>
      </c>
      <c r="AJ15" s="30" t="str">
        <f t="shared" ca="1" si="21"/>
        <v/>
      </c>
      <c r="AK15" s="30" t="str">
        <f t="shared" ca="1" si="22"/>
        <v/>
      </c>
      <c r="AL15" s="30" t="str">
        <f t="shared" ca="1" si="22"/>
        <v/>
      </c>
      <c r="AM15" s="30" t="str">
        <f t="shared" ca="1" si="22"/>
        <v/>
      </c>
      <c r="AN15" s="30" t="str">
        <f t="shared" ca="1" si="22"/>
        <v/>
      </c>
      <c r="AO15" s="30" t="str">
        <f t="shared" ca="1" si="23"/>
        <v/>
      </c>
      <c r="AP15" s="30" t="b">
        <f t="shared" ca="1" si="24"/>
        <v>0</v>
      </c>
      <c r="AQ15" s="30" t="b">
        <f t="shared" ca="1" si="27"/>
        <v>0</v>
      </c>
      <c r="AR15" s="30" t="b">
        <f t="shared" ca="1" si="28"/>
        <v>0</v>
      </c>
      <c r="AS15" s="30" t="e">
        <f t="shared" ca="1" si="29"/>
        <v>#VALUE!</v>
      </c>
      <c r="AT15" s="30" t="e">
        <f t="shared" ca="1" si="30"/>
        <v>#VALUE!</v>
      </c>
      <c r="AU15" s="30" t="e">
        <f t="shared" ca="1" si="31"/>
        <v>#VALUE!</v>
      </c>
      <c r="AV15" s="30" t="e">
        <f t="shared" ca="1" si="25"/>
        <v>#VALUE!</v>
      </c>
    </row>
    <row r="16" spans="2:48" x14ac:dyDescent="0.25">
      <c r="B16" s="33" t="str">
        <f t="shared" si="0"/>
        <v/>
      </c>
      <c r="C16" s="68"/>
      <c r="D16" s="90"/>
      <c r="E16" s="91"/>
      <c r="F16" s="92"/>
      <c r="G16" s="54" t="str">
        <f t="shared" ca="1" si="32"/>
        <v/>
      </c>
      <c r="H16" s="20"/>
      <c r="I16" s="20"/>
      <c r="J16" s="18"/>
      <c r="K16" s="56" t="str">
        <f t="shared" ca="1" si="2"/>
        <v/>
      </c>
      <c r="L16" s="13"/>
      <c r="M16" s="57" t="str">
        <f t="shared" ca="1" si="3"/>
        <v/>
      </c>
      <c r="N16" s="12"/>
      <c r="O16" s="63" t="str">
        <f t="shared" ca="1" si="4"/>
        <v/>
      </c>
      <c r="P16" s="12"/>
      <c r="Q16" s="63" t="str">
        <f t="shared" ca="1" si="5"/>
        <v/>
      </c>
      <c r="R16" s="12"/>
      <c r="S16" s="83" t="str">
        <f t="shared" ca="1" si="6"/>
        <v/>
      </c>
      <c r="T16" s="55" t="str">
        <f t="shared" ca="1" si="33"/>
        <v/>
      </c>
      <c r="U16" s="55" t="str">
        <f t="shared" ca="1" si="34"/>
        <v/>
      </c>
      <c r="V16" s="80" t="str">
        <f t="shared" ca="1" si="26"/>
        <v/>
      </c>
      <c r="X16" s="30" t="e">
        <f t="shared" ca="1" si="9"/>
        <v>#N/A</v>
      </c>
      <c r="Y16" s="30" t="e">
        <f t="shared" ca="1" si="10"/>
        <v>#N/A</v>
      </c>
      <c r="Z16" s="30" t="e">
        <f t="shared" ca="1" si="11"/>
        <v>#N/A</v>
      </c>
      <c r="AA16" s="30" t="str">
        <f t="shared" ca="1" si="12"/>
        <v/>
      </c>
      <c r="AB16" s="30" t="str">
        <f t="shared" ca="1" si="13"/>
        <v/>
      </c>
      <c r="AC16" s="30">
        <f t="shared" ca="1" si="14"/>
        <v>0</v>
      </c>
      <c r="AD16" s="30" t="e">
        <f t="shared" ca="1" si="15"/>
        <v>#VALUE!</v>
      </c>
      <c r="AE16" s="30" t="e">
        <f t="shared" ca="1" si="16"/>
        <v>#VALUE!</v>
      </c>
      <c r="AF16" s="30">
        <f t="shared" ca="1" si="17"/>
        <v>0</v>
      </c>
      <c r="AG16" s="30">
        <f t="shared" ca="1" si="18"/>
        <v>25</v>
      </c>
      <c r="AH16" s="30">
        <f t="shared" ca="1" si="19"/>
        <v>0</v>
      </c>
      <c r="AI16" s="30" t="str">
        <f t="shared" ca="1" si="20"/>
        <v/>
      </c>
      <c r="AJ16" s="30" t="str">
        <f t="shared" ca="1" si="21"/>
        <v/>
      </c>
      <c r="AK16" s="30" t="str">
        <f t="shared" ca="1" si="22"/>
        <v/>
      </c>
      <c r="AL16" s="30" t="str">
        <f t="shared" ca="1" si="22"/>
        <v/>
      </c>
      <c r="AM16" s="30" t="str">
        <f t="shared" ca="1" si="22"/>
        <v/>
      </c>
      <c r="AN16" s="30" t="str">
        <f t="shared" ca="1" si="22"/>
        <v/>
      </c>
      <c r="AO16" s="30" t="str">
        <f t="shared" ca="1" si="23"/>
        <v/>
      </c>
      <c r="AP16" s="30" t="b">
        <f t="shared" ca="1" si="24"/>
        <v>0</v>
      </c>
      <c r="AQ16" s="30" t="b">
        <f t="shared" ca="1" si="27"/>
        <v>0</v>
      </c>
      <c r="AR16" s="30" t="b">
        <f t="shared" ca="1" si="28"/>
        <v>0</v>
      </c>
      <c r="AS16" s="30" t="e">
        <f t="shared" ca="1" si="29"/>
        <v>#VALUE!</v>
      </c>
      <c r="AT16" s="30" t="e">
        <f t="shared" ca="1" si="30"/>
        <v>#VALUE!</v>
      </c>
      <c r="AU16" s="30" t="e">
        <f t="shared" ca="1" si="31"/>
        <v>#VALUE!</v>
      </c>
      <c r="AV16" s="30" t="e">
        <f t="shared" ca="1" si="25"/>
        <v>#VALUE!</v>
      </c>
    </row>
    <row r="17" spans="2:48" x14ac:dyDescent="0.25">
      <c r="B17" s="40" t="str">
        <f t="shared" si="0"/>
        <v/>
      </c>
      <c r="C17" s="69"/>
      <c r="D17" s="93"/>
      <c r="E17" s="94"/>
      <c r="F17" s="95"/>
      <c r="G17" s="58" t="str">
        <f t="shared" ca="1" si="32"/>
        <v/>
      </c>
      <c r="H17" s="17"/>
      <c r="I17" s="17"/>
      <c r="J17" s="16"/>
      <c r="K17" s="60" t="str">
        <f t="shared" ca="1" si="2"/>
        <v/>
      </c>
      <c r="L17" s="11"/>
      <c r="M17" s="61" t="str">
        <f t="shared" ca="1" si="3"/>
        <v/>
      </c>
      <c r="N17" s="11"/>
      <c r="O17" s="61" t="str">
        <f t="shared" ca="1" si="4"/>
        <v/>
      </c>
      <c r="P17" s="11"/>
      <c r="Q17" s="62" t="str">
        <f t="shared" ca="1" si="5"/>
        <v/>
      </c>
      <c r="R17" s="11"/>
      <c r="S17" s="62" t="str">
        <f t="shared" ca="1" si="6"/>
        <v/>
      </c>
      <c r="T17" s="59" t="str">
        <f t="shared" ca="1" si="33"/>
        <v/>
      </c>
      <c r="U17" s="59" t="str">
        <f t="shared" ca="1" si="34"/>
        <v/>
      </c>
      <c r="V17" s="81" t="str">
        <f t="shared" ca="1" si="26"/>
        <v/>
      </c>
      <c r="X17" s="30" t="e">
        <f t="shared" ca="1" si="9"/>
        <v>#N/A</v>
      </c>
      <c r="Y17" s="30" t="e">
        <f t="shared" ca="1" si="10"/>
        <v>#N/A</v>
      </c>
      <c r="Z17" s="30" t="e">
        <f t="shared" ca="1" si="11"/>
        <v>#N/A</v>
      </c>
      <c r="AA17" s="30" t="str">
        <f t="shared" ca="1" si="12"/>
        <v/>
      </c>
      <c r="AB17" s="30" t="str">
        <f t="shared" ca="1" si="13"/>
        <v/>
      </c>
      <c r="AC17" s="30">
        <f t="shared" ca="1" si="14"/>
        <v>0</v>
      </c>
      <c r="AD17" s="30" t="e">
        <f t="shared" ca="1" si="15"/>
        <v>#VALUE!</v>
      </c>
      <c r="AE17" s="30" t="e">
        <f t="shared" ca="1" si="16"/>
        <v>#VALUE!</v>
      </c>
      <c r="AF17" s="30">
        <f t="shared" ca="1" si="17"/>
        <v>0</v>
      </c>
      <c r="AG17" s="30">
        <f t="shared" ca="1" si="18"/>
        <v>25</v>
      </c>
      <c r="AH17" s="30">
        <f t="shared" ca="1" si="19"/>
        <v>0</v>
      </c>
      <c r="AI17" s="30" t="str">
        <f t="shared" ca="1" si="20"/>
        <v/>
      </c>
      <c r="AJ17" s="30" t="str">
        <f t="shared" ca="1" si="21"/>
        <v/>
      </c>
      <c r="AK17" s="30" t="str">
        <f t="shared" ca="1" si="22"/>
        <v/>
      </c>
      <c r="AL17" s="30" t="str">
        <f t="shared" ca="1" si="22"/>
        <v/>
      </c>
      <c r="AM17" s="30" t="str">
        <f t="shared" ca="1" si="22"/>
        <v/>
      </c>
      <c r="AN17" s="30" t="str">
        <f t="shared" ca="1" si="22"/>
        <v/>
      </c>
      <c r="AO17" s="30" t="str">
        <f t="shared" ca="1" si="23"/>
        <v/>
      </c>
      <c r="AP17" s="30" t="b">
        <f t="shared" ca="1" si="24"/>
        <v>0</v>
      </c>
      <c r="AQ17" s="30" t="b">
        <f t="shared" ca="1" si="27"/>
        <v>0</v>
      </c>
      <c r="AR17" s="30" t="b">
        <f t="shared" ca="1" si="28"/>
        <v>0</v>
      </c>
      <c r="AS17" s="30" t="e">
        <f t="shared" ca="1" si="29"/>
        <v>#VALUE!</v>
      </c>
      <c r="AT17" s="30" t="e">
        <f t="shared" ca="1" si="30"/>
        <v>#VALUE!</v>
      </c>
      <c r="AU17" s="30" t="e">
        <f t="shared" ca="1" si="31"/>
        <v>#VALUE!</v>
      </c>
      <c r="AV17" s="30" t="e">
        <f t="shared" ca="1" si="25"/>
        <v>#VALUE!</v>
      </c>
    </row>
    <row r="18" spans="2:48" x14ac:dyDescent="0.25">
      <c r="B18" s="33" t="str">
        <f t="shared" si="0"/>
        <v/>
      </c>
      <c r="C18" s="68"/>
      <c r="D18" s="90"/>
      <c r="E18" s="91"/>
      <c r="F18" s="92"/>
      <c r="G18" s="54" t="str">
        <f t="shared" ca="1" si="32"/>
        <v/>
      </c>
      <c r="H18" s="20"/>
      <c r="I18" s="20"/>
      <c r="J18" s="18"/>
      <c r="K18" s="56" t="str">
        <f t="shared" ca="1" si="2"/>
        <v/>
      </c>
      <c r="L18" s="13"/>
      <c r="M18" s="57" t="str">
        <f t="shared" ca="1" si="3"/>
        <v/>
      </c>
      <c r="N18" s="12"/>
      <c r="O18" s="63" t="str">
        <f t="shared" ca="1" si="4"/>
        <v/>
      </c>
      <c r="P18" s="12"/>
      <c r="Q18" s="63" t="str">
        <f t="shared" ca="1" si="5"/>
        <v/>
      </c>
      <c r="R18" s="12"/>
      <c r="S18" s="83" t="str">
        <f t="shared" ca="1" si="6"/>
        <v/>
      </c>
      <c r="T18" s="55" t="str">
        <f t="shared" ca="1" si="33"/>
        <v/>
      </c>
      <c r="U18" s="55" t="str">
        <f t="shared" ca="1" si="34"/>
        <v/>
      </c>
      <c r="V18" s="80" t="str">
        <f t="shared" ca="1" si="26"/>
        <v/>
      </c>
      <c r="X18" s="30" t="e">
        <f t="shared" ca="1" si="9"/>
        <v>#N/A</v>
      </c>
      <c r="Y18" s="30" t="e">
        <f t="shared" ca="1" si="10"/>
        <v>#N/A</v>
      </c>
      <c r="Z18" s="30" t="e">
        <f t="shared" ca="1" si="11"/>
        <v>#N/A</v>
      </c>
      <c r="AA18" s="30" t="str">
        <f t="shared" ca="1" si="12"/>
        <v/>
      </c>
      <c r="AB18" s="30" t="str">
        <f t="shared" ca="1" si="13"/>
        <v/>
      </c>
      <c r="AC18" s="30">
        <f t="shared" ca="1" si="14"/>
        <v>0</v>
      </c>
      <c r="AD18" s="30" t="e">
        <f t="shared" ca="1" si="15"/>
        <v>#VALUE!</v>
      </c>
      <c r="AE18" s="30" t="e">
        <f t="shared" ca="1" si="16"/>
        <v>#VALUE!</v>
      </c>
      <c r="AF18" s="30">
        <f t="shared" ca="1" si="17"/>
        <v>0</v>
      </c>
      <c r="AG18" s="30">
        <f t="shared" ca="1" si="18"/>
        <v>25</v>
      </c>
      <c r="AH18" s="30">
        <f t="shared" ca="1" si="19"/>
        <v>0</v>
      </c>
      <c r="AI18" s="30" t="str">
        <f t="shared" ca="1" si="20"/>
        <v/>
      </c>
      <c r="AJ18" s="30" t="str">
        <f t="shared" ca="1" si="21"/>
        <v/>
      </c>
      <c r="AK18" s="30" t="str">
        <f t="shared" ca="1" si="22"/>
        <v/>
      </c>
      <c r="AL18" s="30" t="str">
        <f t="shared" ca="1" si="22"/>
        <v/>
      </c>
      <c r="AM18" s="30" t="str">
        <f t="shared" ca="1" si="22"/>
        <v/>
      </c>
      <c r="AN18" s="30" t="str">
        <f t="shared" ca="1" si="22"/>
        <v/>
      </c>
      <c r="AO18" s="30" t="str">
        <f t="shared" ca="1" si="23"/>
        <v/>
      </c>
      <c r="AP18" s="30" t="b">
        <f t="shared" ca="1" si="24"/>
        <v>0</v>
      </c>
      <c r="AQ18" s="30" t="b">
        <f t="shared" ca="1" si="27"/>
        <v>0</v>
      </c>
      <c r="AR18" s="30" t="b">
        <f t="shared" ca="1" si="28"/>
        <v>0</v>
      </c>
      <c r="AS18" s="30" t="e">
        <f t="shared" ca="1" si="29"/>
        <v>#VALUE!</v>
      </c>
      <c r="AT18" s="30" t="e">
        <f t="shared" ca="1" si="30"/>
        <v>#VALUE!</v>
      </c>
      <c r="AU18" s="30" t="e">
        <f t="shared" ca="1" si="31"/>
        <v>#VALUE!</v>
      </c>
      <c r="AV18" s="30" t="e">
        <f t="shared" ca="1" si="25"/>
        <v>#VALUE!</v>
      </c>
    </row>
    <row r="19" spans="2:48" x14ac:dyDescent="0.25">
      <c r="B19" s="40" t="str">
        <f t="shared" si="0"/>
        <v/>
      </c>
      <c r="C19" s="69"/>
      <c r="D19" s="93"/>
      <c r="E19" s="94"/>
      <c r="F19" s="95"/>
      <c r="G19" s="58" t="str">
        <f t="shared" ca="1" si="32"/>
        <v/>
      </c>
      <c r="H19" s="17"/>
      <c r="I19" s="17"/>
      <c r="J19" s="19"/>
      <c r="K19" s="62" t="str">
        <f t="shared" ca="1" si="2"/>
        <v/>
      </c>
      <c r="L19" s="11"/>
      <c r="M19" s="61" t="str">
        <f t="shared" ca="1" si="3"/>
        <v/>
      </c>
      <c r="N19" s="11"/>
      <c r="O19" s="61" t="str">
        <f t="shared" ca="1" si="4"/>
        <v/>
      </c>
      <c r="P19" s="11"/>
      <c r="Q19" s="62" t="str">
        <f t="shared" ca="1" si="5"/>
        <v/>
      </c>
      <c r="R19" s="11"/>
      <c r="S19" s="62" t="str">
        <f t="shared" ca="1" si="6"/>
        <v/>
      </c>
      <c r="T19" s="59" t="str">
        <f t="shared" ca="1" si="33"/>
        <v/>
      </c>
      <c r="U19" s="59" t="str">
        <f t="shared" ca="1" si="34"/>
        <v/>
      </c>
      <c r="V19" s="81" t="str">
        <f t="shared" ca="1" si="26"/>
        <v/>
      </c>
      <c r="X19" s="30" t="e">
        <f t="shared" ca="1" si="9"/>
        <v>#N/A</v>
      </c>
      <c r="Y19" s="30" t="e">
        <f t="shared" ca="1" si="10"/>
        <v>#N/A</v>
      </c>
      <c r="Z19" s="30" t="e">
        <f t="shared" ca="1" si="11"/>
        <v>#N/A</v>
      </c>
      <c r="AA19" s="30" t="str">
        <f t="shared" ca="1" si="12"/>
        <v/>
      </c>
      <c r="AB19" s="30" t="str">
        <f t="shared" ca="1" si="13"/>
        <v/>
      </c>
      <c r="AC19" s="30">
        <f t="shared" ca="1" si="14"/>
        <v>0</v>
      </c>
      <c r="AD19" s="30" t="e">
        <f t="shared" ca="1" si="15"/>
        <v>#VALUE!</v>
      </c>
      <c r="AE19" s="30" t="e">
        <f t="shared" ca="1" si="16"/>
        <v>#VALUE!</v>
      </c>
      <c r="AF19" s="30">
        <f t="shared" ca="1" si="17"/>
        <v>0</v>
      </c>
      <c r="AG19" s="30">
        <f t="shared" ca="1" si="18"/>
        <v>25</v>
      </c>
      <c r="AH19" s="30">
        <f t="shared" ca="1" si="19"/>
        <v>0</v>
      </c>
      <c r="AI19" s="30" t="str">
        <f t="shared" ca="1" si="20"/>
        <v/>
      </c>
      <c r="AJ19" s="30" t="str">
        <f t="shared" ca="1" si="21"/>
        <v/>
      </c>
      <c r="AK19" s="30" t="str">
        <f t="shared" ca="1" si="22"/>
        <v/>
      </c>
      <c r="AL19" s="30" t="str">
        <f t="shared" ca="1" si="22"/>
        <v/>
      </c>
      <c r="AM19" s="30" t="str">
        <f t="shared" ca="1" si="22"/>
        <v/>
      </c>
      <c r="AN19" s="30" t="str">
        <f t="shared" ca="1" si="22"/>
        <v/>
      </c>
      <c r="AO19" s="30" t="str">
        <f t="shared" ca="1" si="23"/>
        <v/>
      </c>
      <c r="AP19" s="30" t="b">
        <f t="shared" ca="1" si="24"/>
        <v>0</v>
      </c>
      <c r="AQ19" s="30" t="b">
        <f t="shared" ca="1" si="27"/>
        <v>0</v>
      </c>
      <c r="AR19" s="30" t="b">
        <f t="shared" ca="1" si="28"/>
        <v>0</v>
      </c>
      <c r="AS19" s="30" t="e">
        <f t="shared" ca="1" si="29"/>
        <v>#VALUE!</v>
      </c>
      <c r="AT19" s="30" t="e">
        <f t="shared" ca="1" si="30"/>
        <v>#VALUE!</v>
      </c>
      <c r="AU19" s="30" t="e">
        <f t="shared" ca="1" si="31"/>
        <v>#VALUE!</v>
      </c>
      <c r="AV19" s="30" t="e">
        <f t="shared" ca="1" si="25"/>
        <v>#VALUE!</v>
      </c>
    </row>
    <row r="20" spans="2:48" x14ac:dyDescent="0.25">
      <c r="B20" s="33" t="str">
        <f t="shared" si="0"/>
        <v/>
      </c>
      <c r="C20" s="68"/>
      <c r="D20" s="90"/>
      <c r="E20" s="91"/>
      <c r="F20" s="92"/>
      <c r="G20" s="54" t="str">
        <f t="shared" ca="1" si="32"/>
        <v/>
      </c>
      <c r="H20" s="20"/>
      <c r="I20" s="20"/>
      <c r="J20" s="18"/>
      <c r="K20" s="56" t="str">
        <f t="shared" ca="1" si="2"/>
        <v/>
      </c>
      <c r="L20" s="12"/>
      <c r="M20" s="63" t="str">
        <f t="shared" ca="1" si="3"/>
        <v/>
      </c>
      <c r="N20" s="13"/>
      <c r="O20" s="57" t="str">
        <f t="shared" ca="1" si="4"/>
        <v/>
      </c>
      <c r="P20" s="13"/>
      <c r="Q20" s="56" t="str">
        <f t="shared" ca="1" si="5"/>
        <v/>
      </c>
      <c r="R20" s="13"/>
      <c r="S20" s="56" t="str">
        <f t="shared" ca="1" si="6"/>
        <v/>
      </c>
      <c r="T20" s="55" t="str">
        <f t="shared" ca="1" si="33"/>
        <v/>
      </c>
      <c r="U20" s="55" t="str">
        <f t="shared" ca="1" si="34"/>
        <v/>
      </c>
      <c r="V20" s="80" t="str">
        <f t="shared" ca="1" si="26"/>
        <v/>
      </c>
      <c r="X20" s="30" t="e">
        <f t="shared" ca="1" si="9"/>
        <v>#N/A</v>
      </c>
      <c r="Y20" s="30" t="e">
        <f t="shared" ca="1" si="10"/>
        <v>#N/A</v>
      </c>
      <c r="Z20" s="30" t="e">
        <f t="shared" ca="1" si="11"/>
        <v>#N/A</v>
      </c>
      <c r="AA20" s="30" t="str">
        <f t="shared" ca="1" si="12"/>
        <v/>
      </c>
      <c r="AB20" s="30" t="str">
        <f t="shared" ca="1" si="13"/>
        <v/>
      </c>
      <c r="AC20" s="30">
        <f t="shared" ca="1" si="14"/>
        <v>0</v>
      </c>
      <c r="AD20" s="30" t="e">
        <f t="shared" ca="1" si="15"/>
        <v>#VALUE!</v>
      </c>
      <c r="AE20" s="30" t="e">
        <f t="shared" ca="1" si="16"/>
        <v>#VALUE!</v>
      </c>
      <c r="AF20" s="30">
        <f t="shared" ca="1" si="17"/>
        <v>0</v>
      </c>
      <c r="AG20" s="30">
        <f t="shared" ca="1" si="18"/>
        <v>25</v>
      </c>
      <c r="AH20" s="30">
        <f t="shared" ca="1" si="19"/>
        <v>0</v>
      </c>
      <c r="AI20" s="30" t="str">
        <f t="shared" ca="1" si="20"/>
        <v/>
      </c>
      <c r="AJ20" s="30" t="str">
        <f t="shared" ca="1" si="21"/>
        <v/>
      </c>
      <c r="AK20" s="30" t="str">
        <f t="shared" ca="1" si="22"/>
        <v/>
      </c>
      <c r="AL20" s="30" t="str">
        <f t="shared" ca="1" si="22"/>
        <v/>
      </c>
      <c r="AM20" s="30" t="str">
        <f t="shared" ca="1" si="22"/>
        <v/>
      </c>
      <c r="AN20" s="30" t="str">
        <f t="shared" ca="1" si="22"/>
        <v/>
      </c>
      <c r="AO20" s="30" t="str">
        <f t="shared" ca="1" si="23"/>
        <v/>
      </c>
      <c r="AP20" s="30" t="b">
        <f t="shared" ca="1" si="24"/>
        <v>0</v>
      </c>
      <c r="AQ20" s="30" t="b">
        <f t="shared" ca="1" si="27"/>
        <v>0</v>
      </c>
      <c r="AR20" s="30" t="b">
        <f t="shared" ca="1" si="28"/>
        <v>0</v>
      </c>
      <c r="AS20" s="30" t="e">
        <f t="shared" ca="1" si="29"/>
        <v>#VALUE!</v>
      </c>
      <c r="AT20" s="30" t="e">
        <f t="shared" ca="1" si="30"/>
        <v>#VALUE!</v>
      </c>
      <c r="AU20" s="30" t="e">
        <f t="shared" ca="1" si="31"/>
        <v>#VALUE!</v>
      </c>
      <c r="AV20" s="30" t="e">
        <f t="shared" ca="1" si="25"/>
        <v>#VALUE!</v>
      </c>
    </row>
    <row r="21" spans="2:48" x14ac:dyDescent="0.25">
      <c r="B21" s="40" t="str">
        <f t="shared" si="0"/>
        <v/>
      </c>
      <c r="C21" s="69"/>
      <c r="D21" s="93"/>
      <c r="E21" s="94"/>
      <c r="F21" s="95"/>
      <c r="G21" s="58" t="str">
        <f t="shared" ca="1" si="32"/>
        <v/>
      </c>
      <c r="H21" s="17"/>
      <c r="I21" s="17"/>
      <c r="J21" s="16"/>
      <c r="K21" s="60" t="str">
        <f t="shared" ca="1" si="2"/>
        <v/>
      </c>
      <c r="L21" s="11"/>
      <c r="M21" s="61" t="str">
        <f t="shared" ca="1" si="3"/>
        <v/>
      </c>
      <c r="N21" s="11"/>
      <c r="O21" s="61" t="str">
        <f t="shared" ca="1" si="4"/>
        <v/>
      </c>
      <c r="P21" s="11"/>
      <c r="Q21" s="62" t="str">
        <f t="shared" ca="1" si="5"/>
        <v/>
      </c>
      <c r="R21" s="11"/>
      <c r="S21" s="62" t="str">
        <f t="shared" ca="1" si="6"/>
        <v/>
      </c>
      <c r="T21" s="59" t="str">
        <f t="shared" ca="1" si="33"/>
        <v/>
      </c>
      <c r="U21" s="59" t="str">
        <f t="shared" ca="1" si="34"/>
        <v/>
      </c>
      <c r="V21" s="81" t="str">
        <f t="shared" ca="1" si="26"/>
        <v/>
      </c>
      <c r="X21" s="30" t="e">
        <f t="shared" ca="1" si="9"/>
        <v>#N/A</v>
      </c>
      <c r="Y21" s="30" t="e">
        <f t="shared" ca="1" si="10"/>
        <v>#N/A</v>
      </c>
      <c r="Z21" s="30" t="e">
        <f t="shared" ca="1" si="11"/>
        <v>#N/A</v>
      </c>
      <c r="AA21" s="30" t="str">
        <f t="shared" ca="1" si="12"/>
        <v/>
      </c>
      <c r="AB21" s="30" t="str">
        <f t="shared" ca="1" si="13"/>
        <v/>
      </c>
      <c r="AC21" s="30">
        <f t="shared" ca="1" si="14"/>
        <v>0</v>
      </c>
      <c r="AD21" s="30" t="e">
        <f t="shared" ca="1" si="15"/>
        <v>#VALUE!</v>
      </c>
      <c r="AE21" s="30" t="e">
        <f t="shared" ca="1" si="16"/>
        <v>#VALUE!</v>
      </c>
      <c r="AF21" s="30">
        <f t="shared" ca="1" si="17"/>
        <v>0</v>
      </c>
      <c r="AG21" s="30">
        <f t="shared" ca="1" si="18"/>
        <v>25</v>
      </c>
      <c r="AH21" s="30">
        <f t="shared" ca="1" si="19"/>
        <v>0</v>
      </c>
      <c r="AI21" s="30" t="str">
        <f t="shared" ca="1" si="20"/>
        <v/>
      </c>
      <c r="AJ21" s="30" t="str">
        <f t="shared" ca="1" si="21"/>
        <v/>
      </c>
      <c r="AK21" s="30" t="str">
        <f t="shared" ca="1" si="22"/>
        <v/>
      </c>
      <c r="AL21" s="30" t="str">
        <f t="shared" ca="1" si="22"/>
        <v/>
      </c>
      <c r="AM21" s="30" t="str">
        <f t="shared" ca="1" si="22"/>
        <v/>
      </c>
      <c r="AN21" s="30" t="str">
        <f t="shared" ca="1" si="22"/>
        <v/>
      </c>
      <c r="AO21" s="30" t="str">
        <f t="shared" ca="1" si="23"/>
        <v/>
      </c>
      <c r="AP21" s="30" t="b">
        <f t="shared" ca="1" si="24"/>
        <v>0</v>
      </c>
      <c r="AQ21" s="30" t="b">
        <f t="shared" ca="1" si="27"/>
        <v>0</v>
      </c>
      <c r="AR21" s="30" t="b">
        <f t="shared" ca="1" si="28"/>
        <v>0</v>
      </c>
      <c r="AS21" s="30" t="e">
        <f t="shared" ca="1" si="29"/>
        <v>#VALUE!</v>
      </c>
      <c r="AT21" s="30" t="e">
        <f t="shared" ca="1" si="30"/>
        <v>#VALUE!</v>
      </c>
      <c r="AU21" s="30" t="e">
        <f t="shared" ca="1" si="31"/>
        <v>#VALUE!</v>
      </c>
      <c r="AV21" s="30" t="e">
        <f t="shared" ca="1" si="25"/>
        <v>#VALUE!</v>
      </c>
    </row>
    <row r="22" spans="2:48" x14ac:dyDescent="0.25">
      <c r="B22" s="33" t="str">
        <f t="shared" si="0"/>
        <v/>
      </c>
      <c r="C22" s="68"/>
      <c r="D22" s="90"/>
      <c r="E22" s="91"/>
      <c r="F22" s="92"/>
      <c r="G22" s="54" t="str">
        <f ca="1">IFERROR(INDEX(TablaTurno,X22,Y22),"")</f>
        <v/>
      </c>
      <c r="H22" s="20"/>
      <c r="I22" s="20"/>
      <c r="J22" s="18"/>
      <c r="K22" s="56" t="str">
        <f t="shared" ca="1" si="2"/>
        <v/>
      </c>
      <c r="L22" s="12"/>
      <c r="M22" s="63" t="str">
        <f t="shared" ca="1" si="3"/>
        <v/>
      </c>
      <c r="N22" s="12"/>
      <c r="O22" s="63" t="str">
        <f t="shared" ca="1" si="4"/>
        <v/>
      </c>
      <c r="P22" s="12"/>
      <c r="Q22" s="63" t="str">
        <f t="shared" ca="1" si="5"/>
        <v/>
      </c>
      <c r="R22" s="12"/>
      <c r="S22" s="83" t="str">
        <f t="shared" ca="1" si="6"/>
        <v/>
      </c>
      <c r="T22" s="55" t="str">
        <f ca="1">IFERROR(INDEX(TablaHA,X22,Y22),"")</f>
        <v/>
      </c>
      <c r="U22" s="55" t="str">
        <f ca="1">IFERROR(IF(INDEX(TablaHD,X22,Y22)&lt;&gt;"",INDEX(TablaHD,X22,Y22),INDEX(TablaPjs,X22,MATCH(TitleHD,ListaAtributos,0))),"")</f>
        <v/>
      </c>
      <c r="V22" s="80" t="str">
        <f t="shared" ca="1" si="26"/>
        <v/>
      </c>
      <c r="X22" s="30" t="e">
        <f t="shared" ca="1" si="9"/>
        <v>#N/A</v>
      </c>
      <c r="Y22" s="30" t="e">
        <f t="shared" ca="1" si="10"/>
        <v>#N/A</v>
      </c>
      <c r="Z22" s="30" t="e">
        <f t="shared" ca="1" si="11"/>
        <v>#N/A</v>
      </c>
      <c r="AA22" s="30" t="str">
        <f t="shared" ca="1" si="12"/>
        <v/>
      </c>
      <c r="AB22" s="30" t="str">
        <f t="shared" ca="1" si="13"/>
        <v/>
      </c>
      <c r="AC22" s="30">
        <f t="shared" ca="1" si="14"/>
        <v>0</v>
      </c>
      <c r="AD22" s="30" t="e">
        <f t="shared" ca="1" si="15"/>
        <v>#VALUE!</v>
      </c>
      <c r="AE22" s="30" t="e">
        <f t="shared" ca="1" si="16"/>
        <v>#VALUE!</v>
      </c>
      <c r="AF22" s="30">
        <f t="shared" ca="1" si="17"/>
        <v>0</v>
      </c>
      <c r="AG22" s="30">
        <f t="shared" ca="1" si="18"/>
        <v>25</v>
      </c>
      <c r="AH22" s="30">
        <f t="shared" ca="1" si="19"/>
        <v>0</v>
      </c>
      <c r="AI22" s="30" t="str">
        <f t="shared" ca="1" si="20"/>
        <v/>
      </c>
      <c r="AJ22" s="30" t="str">
        <f t="shared" ca="1" si="21"/>
        <v/>
      </c>
      <c r="AK22" s="30" t="str">
        <f t="shared" ca="1" si="22"/>
        <v/>
      </c>
      <c r="AL22" s="30" t="str">
        <f t="shared" ca="1" si="22"/>
        <v/>
      </c>
      <c r="AM22" s="30" t="str">
        <f t="shared" ca="1" si="22"/>
        <v/>
      </c>
      <c r="AN22" s="30" t="str">
        <f t="shared" ca="1" si="22"/>
        <v/>
      </c>
      <c r="AO22" s="30" t="str">
        <f t="shared" ca="1" si="23"/>
        <v/>
      </c>
      <c r="AP22" s="30" t="b">
        <f t="shared" ca="1" si="24"/>
        <v>0</v>
      </c>
      <c r="AQ22" s="30" t="b">
        <f t="shared" ca="1" si="27"/>
        <v>0</v>
      </c>
      <c r="AR22" s="30" t="b">
        <f t="shared" ca="1" si="28"/>
        <v>0</v>
      </c>
      <c r="AS22" s="30" t="e">
        <f t="shared" ca="1" si="29"/>
        <v>#VALUE!</v>
      </c>
      <c r="AT22" s="30" t="e">
        <f t="shared" ca="1" si="30"/>
        <v>#VALUE!</v>
      </c>
      <c r="AU22" s="30" t="e">
        <f t="shared" ca="1" si="31"/>
        <v>#VALUE!</v>
      </c>
      <c r="AV22" s="30" t="e">
        <f t="shared" ca="1" si="25"/>
        <v>#VALUE!</v>
      </c>
    </row>
    <row r="23" spans="2:48" ht="15.75" thickBot="1" x14ac:dyDescent="0.3">
      <c r="B23" s="47" t="str">
        <f t="shared" si="0"/>
        <v/>
      </c>
      <c r="C23" s="70"/>
      <c r="D23" s="96"/>
      <c r="E23" s="97"/>
      <c r="F23" s="98"/>
      <c r="G23" s="64" t="str">
        <f ca="1">IFERROR(INDEX(TablaTurno,X23,Y23),"")</f>
        <v/>
      </c>
      <c r="H23" s="21"/>
      <c r="I23" s="21"/>
      <c r="J23" s="14"/>
      <c r="K23" s="66" t="str">
        <f t="shared" ca="1" si="2"/>
        <v/>
      </c>
      <c r="L23" s="14"/>
      <c r="M23" s="67" t="str">
        <f t="shared" ca="1" si="3"/>
        <v/>
      </c>
      <c r="N23" s="14"/>
      <c r="O23" s="67" t="str">
        <f t="shared" ca="1" si="4"/>
        <v/>
      </c>
      <c r="P23" s="14"/>
      <c r="Q23" s="67" t="str">
        <f t="shared" ca="1" si="5"/>
        <v/>
      </c>
      <c r="R23" s="15"/>
      <c r="S23" s="84" t="str">
        <f t="shared" ca="1" si="6"/>
        <v/>
      </c>
      <c r="T23" s="65" t="str">
        <f ca="1">IFERROR(INDEX(TablaHA,X23,Y23),"")</f>
        <v/>
      </c>
      <c r="U23" s="65" t="str">
        <f ca="1">IFERROR(IF(INDEX(TablaHD,X23,Y23)&lt;&gt;"",INDEX(TablaHD,X23,Y23),INDEX(TablaPjs,X23,MATCH(TitleHD,ListaAtributos,0))),"")</f>
        <v/>
      </c>
      <c r="V23" s="82" t="str">
        <f t="shared" ca="1" si="26"/>
        <v/>
      </c>
      <c r="X23" s="30" t="e">
        <f t="shared" ca="1" si="9"/>
        <v>#N/A</v>
      </c>
      <c r="Y23" s="30" t="e">
        <f t="shared" ca="1" si="10"/>
        <v>#N/A</v>
      </c>
      <c r="Z23" s="30" t="e">
        <f t="shared" ca="1" si="11"/>
        <v>#N/A</v>
      </c>
      <c r="AA23" s="30" t="str">
        <f t="shared" ca="1" si="12"/>
        <v/>
      </c>
      <c r="AB23" s="30" t="str">
        <f t="shared" ca="1" si="13"/>
        <v/>
      </c>
      <c r="AC23" s="30">
        <f t="shared" ca="1" si="14"/>
        <v>0</v>
      </c>
      <c r="AD23" s="30" t="e">
        <f t="shared" ca="1" si="15"/>
        <v>#VALUE!</v>
      </c>
      <c r="AE23" s="30" t="e">
        <f t="shared" ca="1" si="16"/>
        <v>#VALUE!</v>
      </c>
      <c r="AF23" s="30">
        <f t="shared" ca="1" si="17"/>
        <v>0</v>
      </c>
      <c r="AG23" s="30">
        <f t="shared" ca="1" si="18"/>
        <v>25</v>
      </c>
      <c r="AH23" s="30">
        <f t="shared" ca="1" si="19"/>
        <v>0</v>
      </c>
      <c r="AI23" s="30" t="str">
        <f t="shared" ca="1" si="20"/>
        <v/>
      </c>
      <c r="AJ23" s="30" t="str">
        <f t="shared" ca="1" si="21"/>
        <v/>
      </c>
      <c r="AK23" s="30" t="str">
        <f t="shared" ca="1" si="22"/>
        <v/>
      </c>
      <c r="AL23" s="30" t="str">
        <f t="shared" ca="1" si="22"/>
        <v/>
      </c>
      <c r="AM23" s="30" t="str">
        <f t="shared" ca="1" si="22"/>
        <v/>
      </c>
      <c r="AN23" s="30" t="str">
        <f t="shared" ca="1" si="22"/>
        <v/>
      </c>
      <c r="AO23" s="30" t="str">
        <f t="shared" ca="1" si="23"/>
        <v/>
      </c>
      <c r="AP23" s="30" t="b">
        <f t="shared" ca="1" si="24"/>
        <v>0</v>
      </c>
      <c r="AQ23" s="30" t="b">
        <f t="shared" ca="1" si="27"/>
        <v>0</v>
      </c>
      <c r="AR23" s="30" t="b">
        <f t="shared" ca="1" si="28"/>
        <v>0</v>
      </c>
      <c r="AS23" s="30" t="e">
        <f t="shared" ca="1" si="29"/>
        <v>#VALUE!</v>
      </c>
      <c r="AT23" s="30" t="e">
        <f t="shared" ca="1" si="30"/>
        <v>#VALUE!</v>
      </c>
      <c r="AU23" s="30" t="e">
        <f t="shared" ca="1" si="31"/>
        <v>#VALUE!</v>
      </c>
      <c r="AV23" s="30" t="e">
        <f t="shared" ca="1" si="25"/>
        <v>#VALUE!</v>
      </c>
    </row>
  </sheetData>
  <sheetProtection sheet="1" objects="1" scenarios="1" selectLockedCells="1"/>
  <dataConsolidate/>
  <mergeCells count="15">
    <mergeCell ref="H2:H3"/>
    <mergeCell ref="T2:T3"/>
    <mergeCell ref="U2:U3"/>
    <mergeCell ref="V2:V3"/>
    <mergeCell ref="L2:M2"/>
    <mergeCell ref="N2:O2"/>
    <mergeCell ref="P2:Q2"/>
    <mergeCell ref="R2:S2"/>
    <mergeCell ref="J2:K2"/>
    <mergeCell ref="I2:I3"/>
    <mergeCell ref="B2:C2"/>
    <mergeCell ref="D2:D3"/>
    <mergeCell ref="E2:E3"/>
    <mergeCell ref="F2:F3"/>
    <mergeCell ref="G2:G3"/>
  </mergeCells>
  <conditionalFormatting sqref="H4:H23">
    <cfRule type="expression" dxfId="24" priority="19">
      <formula>$H4&gt;0</formula>
    </cfRule>
    <cfRule type="expression" dxfId="23" priority="20">
      <formula>$H4&lt;0</formula>
    </cfRule>
  </conditionalFormatting>
  <conditionalFormatting sqref="J4:K23">
    <cfRule type="expression" dxfId="22" priority="97" stopIfTrue="1">
      <formula>$J4&gt;=$K4</formula>
    </cfRule>
    <cfRule type="expression" dxfId="21" priority="98" stopIfTrue="1">
      <formula>$J4&gt;=($K4*0.8)</formula>
    </cfRule>
    <cfRule type="expression" dxfId="20" priority="99">
      <formula>$J4&gt;=($K4*0.5)</formula>
    </cfRule>
  </conditionalFormatting>
  <conditionalFormatting sqref="L4:M23">
    <cfRule type="expression" dxfId="19" priority="100">
      <formula>($M4-$L4)&lt;=0</formula>
    </cfRule>
    <cfRule type="expression" dxfId="18" priority="101">
      <formula>($M4-$L4)=1</formula>
    </cfRule>
    <cfRule type="expression" dxfId="17" priority="102">
      <formula>($M4-$L4)=2</formula>
    </cfRule>
    <cfRule type="expression" dxfId="16" priority="103">
      <formula>($M4-$L4)=3</formula>
    </cfRule>
    <cfRule type="expression" dxfId="15" priority="104">
      <formula>($M4-$L4)=4</formula>
    </cfRule>
  </conditionalFormatting>
  <conditionalFormatting sqref="P4:Q23">
    <cfRule type="expression" dxfId="14" priority="105">
      <formula>$P4&gt;=$Q4</formula>
    </cfRule>
    <cfRule type="expression" dxfId="13" priority="106">
      <formula>IF($Q4&lt;=50,AND($P4&gt;0,$P4&lt;$Q4),AND(($Q4-$P4)&lt;=50,$P4&lt;$Q4))</formula>
    </cfRule>
  </conditionalFormatting>
  <conditionalFormatting sqref="N4:O23">
    <cfRule type="expression" dxfId="12" priority="107">
      <formula>$N4&gt;=$O4</formula>
    </cfRule>
    <cfRule type="expression" dxfId="11" priority="108">
      <formula>IF($O4&lt;=10,AND($N4&gt;0,$N4&lt;$O4),AND(($O4-$N4)&lt;=10,$N4&lt;$O4))</formula>
    </cfRule>
  </conditionalFormatting>
  <conditionalFormatting sqref="D4:F23">
    <cfRule type="expression" dxfId="10" priority="1">
      <formula>ISNA(VLOOKUP($D4,INDIRECT(ListaPjs),1,0))</formula>
    </cfRule>
  </conditionalFormatting>
  <dataValidations count="3">
    <dataValidation type="list" allowBlank="1" showInputMessage="1" showErrorMessage="1" sqref="E4:E23">
      <formula1>INDIRECT(VLOOKUP(D4,TablasArmas,2,0))</formula1>
    </dataValidation>
    <dataValidation type="whole" operator="greaterThan" allowBlank="1" showInputMessage="1" showErrorMessage="1" sqref="C4:C23">
      <formula1>1</formula1>
    </dataValidation>
    <dataValidation type="list" allowBlank="1" showInputMessage="1" showErrorMessage="1" sqref="D4:D23">
      <formula1>INDIRECT(ListaPjs)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A23"/>
  <sheetViews>
    <sheetView workbookViewId="0">
      <selection activeCell="G4" sqref="G4"/>
    </sheetView>
  </sheetViews>
  <sheetFormatPr baseColWidth="10" defaultRowHeight="15" x14ac:dyDescent="0.25"/>
  <cols>
    <col min="1" max="1" width="3.42578125" style="30" customWidth="1"/>
    <col min="2" max="2" width="6.85546875" style="30" customWidth="1"/>
    <col min="3" max="3" width="5.28515625" style="30" customWidth="1"/>
    <col min="4" max="4" width="9" style="30" customWidth="1"/>
    <col min="5" max="5" width="20" style="30" customWidth="1"/>
    <col min="6" max="7" width="5.28515625" style="30" customWidth="1"/>
    <col min="8" max="8" width="17.140625" style="30" customWidth="1"/>
    <col min="9" max="9" width="5.7109375" style="30" customWidth="1"/>
    <col min="10" max="10" width="6.5703125" style="30" customWidth="1"/>
    <col min="11" max="15" width="5" style="30" customWidth="1"/>
    <col min="16" max="16" width="5.7109375" style="30" customWidth="1"/>
    <col min="17" max="18" width="4.28515625" style="30" customWidth="1"/>
    <col min="19" max="19" width="7.5703125" style="30" customWidth="1"/>
    <col min="20" max="20" width="10" style="30" customWidth="1"/>
    <col min="21" max="21" width="17.85546875" style="30" customWidth="1"/>
    <col min="22" max="22" width="26.140625" style="30" customWidth="1"/>
    <col min="23" max="23" width="4.28515625" customWidth="1"/>
    <col min="24" max="25" width="11.85546875" style="30" hidden="1" customWidth="1"/>
    <col min="26" max="26" width="11.42578125" style="30" hidden="1" customWidth="1"/>
    <col min="27" max="27" width="11.85546875" style="30" hidden="1" customWidth="1"/>
    <col min="28" max="28" width="11.85546875" style="30" bestFit="1" customWidth="1"/>
    <col min="29" max="16384" width="11.42578125" style="30"/>
  </cols>
  <sheetData>
    <row r="1" spans="2:27" ht="15.75" thickBot="1" x14ac:dyDescent="0.3"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2"/>
    </row>
    <row r="2" spans="2:27" x14ac:dyDescent="0.25">
      <c r="B2" s="122"/>
      <c r="C2" s="122" t="s">
        <v>22</v>
      </c>
      <c r="D2" s="111"/>
      <c r="E2" s="112" t="s">
        <v>27</v>
      </c>
      <c r="F2" s="124" t="s">
        <v>3</v>
      </c>
      <c r="G2" s="126" t="s">
        <v>36</v>
      </c>
      <c r="H2" s="114" t="s">
        <v>57</v>
      </c>
      <c r="I2" s="114" t="s">
        <v>0</v>
      </c>
      <c r="J2" s="112"/>
      <c r="K2" s="114" t="s">
        <v>11</v>
      </c>
      <c r="L2" s="112"/>
      <c r="M2" s="114" t="s">
        <v>12</v>
      </c>
      <c r="N2" s="112"/>
      <c r="O2" s="114" t="s">
        <v>13</v>
      </c>
      <c r="P2" s="112"/>
      <c r="Q2" s="114" t="s">
        <v>14</v>
      </c>
      <c r="R2" s="112"/>
      <c r="S2" s="114" t="s">
        <v>1</v>
      </c>
      <c r="T2" s="114" t="s">
        <v>2</v>
      </c>
      <c r="U2" s="114" t="s">
        <v>15</v>
      </c>
      <c r="V2" s="120" t="s">
        <v>25</v>
      </c>
    </row>
    <row r="3" spans="2:27" ht="15.75" thickBot="1" x14ac:dyDescent="0.3">
      <c r="B3" s="123"/>
      <c r="C3" s="71" t="s">
        <v>56</v>
      </c>
      <c r="D3" s="73" t="s">
        <v>54</v>
      </c>
      <c r="E3" s="113"/>
      <c r="F3" s="125"/>
      <c r="G3" s="127"/>
      <c r="H3" s="115"/>
      <c r="I3" s="106" t="s">
        <v>67</v>
      </c>
      <c r="J3" s="72" t="s">
        <v>53</v>
      </c>
      <c r="K3" s="106" t="s">
        <v>55</v>
      </c>
      <c r="L3" s="72" t="s">
        <v>53</v>
      </c>
      <c r="M3" s="106" t="s">
        <v>55</v>
      </c>
      <c r="N3" s="72" t="s">
        <v>53</v>
      </c>
      <c r="O3" s="106" t="s">
        <v>55</v>
      </c>
      <c r="P3" s="72" t="s">
        <v>53</v>
      </c>
      <c r="Q3" s="106" t="s">
        <v>55</v>
      </c>
      <c r="R3" s="72" t="s">
        <v>53</v>
      </c>
      <c r="S3" s="115"/>
      <c r="T3" s="115"/>
      <c r="U3" s="115"/>
      <c r="V3" s="121"/>
      <c r="X3" s="30" t="s">
        <v>25</v>
      </c>
      <c r="Y3" s="30" t="s">
        <v>66</v>
      </c>
      <c r="Z3" s="30" t="s">
        <v>23</v>
      </c>
      <c r="AA3" s="30" t="s">
        <v>24</v>
      </c>
    </row>
    <row r="4" spans="2:27" x14ac:dyDescent="0.25">
      <c r="B4" s="33">
        <v>1</v>
      </c>
      <c r="C4" s="34"/>
      <c r="D4" s="35"/>
      <c r="E4" s="99"/>
      <c r="F4" s="36"/>
      <c r="G4" s="23"/>
      <c r="H4" s="107"/>
      <c r="I4" s="13"/>
      <c r="J4" s="37"/>
      <c r="K4" s="13"/>
      <c r="L4" s="38"/>
      <c r="M4" s="13"/>
      <c r="N4" s="38"/>
      <c r="O4" s="13"/>
      <c r="P4" s="38"/>
      <c r="Q4" s="13"/>
      <c r="R4" s="37"/>
      <c r="S4" s="99"/>
      <c r="T4" s="99"/>
      <c r="U4" s="102"/>
      <c r="V4" s="39" t="str">
        <f>X4&amp;IF(AND(X4&lt;&gt;"",Y4&lt;&gt;""),"  -  ","")&amp;Y4</f>
        <v/>
      </c>
      <c r="Z4" s="30" t="b">
        <f t="shared" ref="Z4:Z23" si="0">IFERROR(ISNUMBER(SEARCH(", ",D4)),FALSE)</f>
        <v>0</v>
      </c>
      <c r="AA4" s="30" t="b">
        <f t="shared" ref="AA4:AA23" si="1">IFERROR(AND(NOT(Z4),ISNUMBER(SEARCH(" ",D4))),FALSE)</f>
        <v>0</v>
      </c>
    </row>
    <row r="5" spans="2:27" x14ac:dyDescent="0.25">
      <c r="B5" s="40">
        <v>2</v>
      </c>
      <c r="C5" s="41"/>
      <c r="D5" s="42"/>
      <c r="E5" s="100"/>
      <c r="F5" s="43"/>
      <c r="G5" s="28"/>
      <c r="H5" s="109"/>
      <c r="I5" s="27"/>
      <c r="J5" s="44"/>
      <c r="K5" s="27"/>
      <c r="L5" s="45"/>
      <c r="M5" s="27"/>
      <c r="N5" s="45"/>
      <c r="O5" s="27"/>
      <c r="P5" s="44"/>
      <c r="Q5" s="27"/>
      <c r="R5" s="44"/>
      <c r="S5" s="100"/>
      <c r="T5" s="100"/>
      <c r="U5" s="103"/>
      <c r="V5" s="46" t="str">
        <f t="shared" ref="V5:V23" si="2">X5&amp;IF(AND(X5&lt;&gt;"",Y5&lt;&gt;""),"  -  ","")&amp;Y5</f>
        <v/>
      </c>
      <c r="Z5" s="30" t="b">
        <f t="shared" si="0"/>
        <v>0</v>
      </c>
      <c r="AA5" s="30" t="b">
        <f t="shared" si="1"/>
        <v>0</v>
      </c>
    </row>
    <row r="6" spans="2:27" x14ac:dyDescent="0.25">
      <c r="B6" s="33">
        <v>3</v>
      </c>
      <c r="C6" s="34"/>
      <c r="D6" s="35"/>
      <c r="E6" s="99"/>
      <c r="F6" s="36"/>
      <c r="G6" s="23"/>
      <c r="H6" s="23"/>
      <c r="I6" s="26"/>
      <c r="J6" s="37"/>
      <c r="K6" s="26"/>
      <c r="L6" s="38"/>
      <c r="M6" s="26"/>
      <c r="N6" s="38"/>
      <c r="O6" s="26"/>
      <c r="P6" s="38"/>
      <c r="Q6" s="26"/>
      <c r="R6" s="37"/>
      <c r="S6" s="99"/>
      <c r="T6" s="99"/>
      <c r="U6" s="102"/>
      <c r="V6" s="39" t="str">
        <f t="shared" si="2"/>
        <v/>
      </c>
      <c r="Z6" s="30" t="b">
        <f t="shared" si="0"/>
        <v>0</v>
      </c>
      <c r="AA6" s="30" t="b">
        <f t="shared" si="1"/>
        <v>0</v>
      </c>
    </row>
    <row r="7" spans="2:27" x14ac:dyDescent="0.25">
      <c r="B7" s="40">
        <v>4</v>
      </c>
      <c r="C7" s="41"/>
      <c r="D7" s="42"/>
      <c r="E7" s="100"/>
      <c r="F7" s="43"/>
      <c r="G7" s="22"/>
      <c r="H7" s="22"/>
      <c r="I7" s="27"/>
      <c r="J7" s="44"/>
      <c r="K7" s="27"/>
      <c r="L7" s="45"/>
      <c r="M7" s="27"/>
      <c r="N7" s="45"/>
      <c r="O7" s="27"/>
      <c r="P7" s="44"/>
      <c r="Q7" s="27"/>
      <c r="R7" s="44"/>
      <c r="S7" s="100"/>
      <c r="T7" s="100"/>
      <c r="U7" s="103"/>
      <c r="V7" s="46" t="str">
        <f t="shared" si="2"/>
        <v/>
      </c>
      <c r="Z7" s="30" t="b">
        <f t="shared" si="0"/>
        <v>0</v>
      </c>
      <c r="AA7" s="30" t="b">
        <f t="shared" si="1"/>
        <v>0</v>
      </c>
    </row>
    <row r="8" spans="2:27" x14ac:dyDescent="0.25">
      <c r="B8" s="33">
        <v>5</v>
      </c>
      <c r="C8" s="34"/>
      <c r="D8" s="35"/>
      <c r="E8" s="99"/>
      <c r="F8" s="36"/>
      <c r="G8" s="29"/>
      <c r="H8" s="29"/>
      <c r="I8" s="26"/>
      <c r="J8" s="37"/>
      <c r="K8" s="26"/>
      <c r="L8" s="38"/>
      <c r="M8" s="26"/>
      <c r="N8" s="38"/>
      <c r="O8" s="26"/>
      <c r="P8" s="38"/>
      <c r="Q8" s="26"/>
      <c r="R8" s="37"/>
      <c r="S8" s="99"/>
      <c r="T8" s="99"/>
      <c r="U8" s="102"/>
      <c r="V8" s="39" t="str">
        <f t="shared" si="2"/>
        <v/>
      </c>
      <c r="Z8" s="30" t="b">
        <f t="shared" si="0"/>
        <v>0</v>
      </c>
      <c r="AA8" s="30" t="b">
        <f t="shared" si="1"/>
        <v>0</v>
      </c>
    </row>
    <row r="9" spans="2:27" x14ac:dyDescent="0.25">
      <c r="B9" s="40">
        <v>6</v>
      </c>
      <c r="C9" s="41"/>
      <c r="D9" s="42"/>
      <c r="E9" s="100"/>
      <c r="F9" s="43"/>
      <c r="G9" s="22"/>
      <c r="H9" s="22"/>
      <c r="I9" s="27"/>
      <c r="J9" s="44"/>
      <c r="K9" s="27"/>
      <c r="L9" s="45"/>
      <c r="M9" s="27"/>
      <c r="N9" s="45"/>
      <c r="O9" s="27"/>
      <c r="P9" s="44"/>
      <c r="Q9" s="27"/>
      <c r="R9" s="44"/>
      <c r="S9" s="100"/>
      <c r="T9" s="100"/>
      <c r="U9" s="103"/>
      <c r="V9" s="46" t="str">
        <f t="shared" si="2"/>
        <v/>
      </c>
      <c r="Z9" s="30" t="b">
        <f t="shared" si="0"/>
        <v>0</v>
      </c>
      <c r="AA9" s="30" t="b">
        <f t="shared" si="1"/>
        <v>0</v>
      </c>
    </row>
    <row r="10" spans="2:27" x14ac:dyDescent="0.25">
      <c r="B10" s="33">
        <v>7</v>
      </c>
      <c r="C10" s="34"/>
      <c r="D10" s="35"/>
      <c r="E10" s="99"/>
      <c r="F10" s="36"/>
      <c r="G10" s="29"/>
      <c r="H10" s="29"/>
      <c r="I10" s="26"/>
      <c r="J10" s="37"/>
      <c r="K10" s="26"/>
      <c r="L10" s="38"/>
      <c r="M10" s="26"/>
      <c r="N10" s="38"/>
      <c r="O10" s="26"/>
      <c r="P10" s="38"/>
      <c r="Q10" s="26"/>
      <c r="R10" s="37"/>
      <c r="S10" s="99"/>
      <c r="T10" s="99"/>
      <c r="U10" s="102"/>
      <c r="V10" s="39" t="str">
        <f t="shared" si="2"/>
        <v/>
      </c>
      <c r="Z10" s="30" t="b">
        <f t="shared" si="0"/>
        <v>0</v>
      </c>
      <c r="AA10" s="30" t="b">
        <f t="shared" si="1"/>
        <v>0</v>
      </c>
    </row>
    <row r="11" spans="2:27" x14ac:dyDescent="0.25">
      <c r="B11" s="40">
        <v>8</v>
      </c>
      <c r="C11" s="41"/>
      <c r="D11" s="42"/>
      <c r="E11" s="100"/>
      <c r="F11" s="43"/>
      <c r="G11" s="22"/>
      <c r="H11" s="22"/>
      <c r="I11" s="27"/>
      <c r="J11" s="44"/>
      <c r="K11" s="27"/>
      <c r="L11" s="45"/>
      <c r="M11" s="27"/>
      <c r="N11" s="45"/>
      <c r="O11" s="27"/>
      <c r="P11" s="44"/>
      <c r="Q11" s="27"/>
      <c r="R11" s="44"/>
      <c r="S11" s="100"/>
      <c r="T11" s="100"/>
      <c r="U11" s="103"/>
      <c r="V11" s="46" t="str">
        <f t="shared" si="2"/>
        <v/>
      </c>
      <c r="Z11" s="30" t="b">
        <f t="shared" si="0"/>
        <v>0</v>
      </c>
      <c r="AA11" s="30" t="b">
        <f t="shared" si="1"/>
        <v>0</v>
      </c>
    </row>
    <row r="12" spans="2:27" x14ac:dyDescent="0.25">
      <c r="B12" s="33">
        <v>9</v>
      </c>
      <c r="C12" s="34"/>
      <c r="D12" s="35"/>
      <c r="E12" s="99"/>
      <c r="F12" s="36"/>
      <c r="G12" s="29"/>
      <c r="H12" s="29"/>
      <c r="I12" s="26"/>
      <c r="J12" s="37"/>
      <c r="K12" s="26"/>
      <c r="L12" s="38"/>
      <c r="M12" s="26"/>
      <c r="N12" s="38"/>
      <c r="O12" s="26"/>
      <c r="P12" s="38"/>
      <c r="Q12" s="26"/>
      <c r="R12" s="37"/>
      <c r="S12" s="99"/>
      <c r="T12" s="99"/>
      <c r="U12" s="102"/>
      <c r="V12" s="39" t="str">
        <f t="shared" si="2"/>
        <v/>
      </c>
      <c r="Z12" s="30" t="b">
        <f t="shared" si="0"/>
        <v>0</v>
      </c>
      <c r="AA12" s="30" t="b">
        <f t="shared" si="1"/>
        <v>0</v>
      </c>
    </row>
    <row r="13" spans="2:27" x14ac:dyDescent="0.25">
      <c r="B13" s="40">
        <v>10</v>
      </c>
      <c r="C13" s="41"/>
      <c r="D13" s="42"/>
      <c r="E13" s="100"/>
      <c r="F13" s="43"/>
      <c r="G13" s="22"/>
      <c r="H13" s="22"/>
      <c r="I13" s="27"/>
      <c r="J13" s="44"/>
      <c r="K13" s="27"/>
      <c r="L13" s="45"/>
      <c r="M13" s="27"/>
      <c r="N13" s="45"/>
      <c r="O13" s="27"/>
      <c r="P13" s="44"/>
      <c r="Q13" s="27"/>
      <c r="R13" s="44"/>
      <c r="S13" s="100"/>
      <c r="T13" s="100"/>
      <c r="U13" s="103"/>
      <c r="V13" s="46" t="str">
        <f t="shared" si="2"/>
        <v/>
      </c>
      <c r="Z13" s="30" t="b">
        <f t="shared" si="0"/>
        <v>0</v>
      </c>
      <c r="AA13" s="30" t="b">
        <f t="shared" si="1"/>
        <v>0</v>
      </c>
    </row>
    <row r="14" spans="2:27" x14ac:dyDescent="0.25">
      <c r="B14" s="33">
        <v>11</v>
      </c>
      <c r="C14" s="34"/>
      <c r="D14" s="35"/>
      <c r="E14" s="99"/>
      <c r="F14" s="36"/>
      <c r="G14" s="29"/>
      <c r="H14" s="29"/>
      <c r="I14" s="26"/>
      <c r="J14" s="37"/>
      <c r="K14" s="26"/>
      <c r="L14" s="38"/>
      <c r="M14" s="26"/>
      <c r="N14" s="38"/>
      <c r="O14" s="26"/>
      <c r="P14" s="37"/>
      <c r="Q14" s="26"/>
      <c r="R14" s="37"/>
      <c r="S14" s="99"/>
      <c r="T14" s="99"/>
      <c r="U14" s="102"/>
      <c r="V14" s="39" t="str">
        <f t="shared" si="2"/>
        <v/>
      </c>
      <c r="Z14" s="30" t="b">
        <f t="shared" si="0"/>
        <v>0</v>
      </c>
      <c r="AA14" s="30" t="b">
        <f t="shared" si="1"/>
        <v>0</v>
      </c>
    </row>
    <row r="15" spans="2:27" x14ac:dyDescent="0.25">
      <c r="B15" s="40">
        <v>12</v>
      </c>
      <c r="C15" s="41"/>
      <c r="D15" s="42"/>
      <c r="E15" s="100"/>
      <c r="F15" s="43"/>
      <c r="G15" s="22"/>
      <c r="H15" s="22"/>
      <c r="I15" s="27"/>
      <c r="J15" s="44"/>
      <c r="K15" s="27"/>
      <c r="L15" s="45"/>
      <c r="M15" s="27"/>
      <c r="N15" s="45"/>
      <c r="O15" s="27"/>
      <c r="P15" s="44"/>
      <c r="Q15" s="27"/>
      <c r="R15" s="44"/>
      <c r="S15" s="100"/>
      <c r="T15" s="100"/>
      <c r="U15" s="103"/>
      <c r="V15" s="46" t="str">
        <f t="shared" si="2"/>
        <v/>
      </c>
      <c r="Z15" s="30" t="b">
        <f t="shared" si="0"/>
        <v>0</v>
      </c>
      <c r="AA15" s="30" t="b">
        <f t="shared" si="1"/>
        <v>0</v>
      </c>
    </row>
    <row r="16" spans="2:27" x14ac:dyDescent="0.25">
      <c r="B16" s="33">
        <v>13</v>
      </c>
      <c r="C16" s="34"/>
      <c r="D16" s="35"/>
      <c r="E16" s="99"/>
      <c r="F16" s="36"/>
      <c r="G16" s="29"/>
      <c r="H16" s="29"/>
      <c r="I16" s="26"/>
      <c r="J16" s="37"/>
      <c r="K16" s="26"/>
      <c r="L16" s="38"/>
      <c r="M16" s="26"/>
      <c r="N16" s="38"/>
      <c r="O16" s="26"/>
      <c r="P16" s="38"/>
      <c r="Q16" s="26"/>
      <c r="R16" s="37"/>
      <c r="S16" s="99"/>
      <c r="T16" s="99"/>
      <c r="U16" s="102"/>
      <c r="V16" s="39" t="str">
        <f t="shared" si="2"/>
        <v/>
      </c>
      <c r="Z16" s="30" t="b">
        <f t="shared" si="0"/>
        <v>0</v>
      </c>
      <c r="AA16" s="30" t="b">
        <f t="shared" si="1"/>
        <v>0</v>
      </c>
    </row>
    <row r="17" spans="2:27" x14ac:dyDescent="0.25">
      <c r="B17" s="40">
        <v>14</v>
      </c>
      <c r="C17" s="41"/>
      <c r="D17" s="42"/>
      <c r="E17" s="100"/>
      <c r="F17" s="43"/>
      <c r="G17" s="22"/>
      <c r="H17" s="22"/>
      <c r="I17" s="27"/>
      <c r="J17" s="44"/>
      <c r="K17" s="27"/>
      <c r="L17" s="45"/>
      <c r="M17" s="27"/>
      <c r="N17" s="45"/>
      <c r="O17" s="27"/>
      <c r="P17" s="44"/>
      <c r="Q17" s="27"/>
      <c r="R17" s="44"/>
      <c r="S17" s="100"/>
      <c r="T17" s="100"/>
      <c r="U17" s="103"/>
      <c r="V17" s="46" t="str">
        <f t="shared" si="2"/>
        <v/>
      </c>
      <c r="Z17" s="30" t="b">
        <f t="shared" si="0"/>
        <v>0</v>
      </c>
      <c r="AA17" s="30" t="b">
        <f t="shared" si="1"/>
        <v>0</v>
      </c>
    </row>
    <row r="18" spans="2:27" x14ac:dyDescent="0.25">
      <c r="B18" s="33">
        <v>15</v>
      </c>
      <c r="C18" s="34"/>
      <c r="D18" s="35"/>
      <c r="E18" s="99"/>
      <c r="F18" s="36"/>
      <c r="G18" s="29"/>
      <c r="H18" s="29"/>
      <c r="I18" s="26"/>
      <c r="J18" s="37"/>
      <c r="K18" s="26"/>
      <c r="L18" s="38"/>
      <c r="M18" s="26"/>
      <c r="N18" s="38"/>
      <c r="O18" s="26"/>
      <c r="P18" s="38"/>
      <c r="Q18" s="26"/>
      <c r="R18" s="37"/>
      <c r="S18" s="99"/>
      <c r="T18" s="99"/>
      <c r="U18" s="102"/>
      <c r="V18" s="39" t="str">
        <f t="shared" si="2"/>
        <v/>
      </c>
      <c r="Z18" s="30" t="b">
        <f t="shared" si="0"/>
        <v>0</v>
      </c>
      <c r="AA18" s="30" t="b">
        <f t="shared" si="1"/>
        <v>0</v>
      </c>
    </row>
    <row r="19" spans="2:27" x14ac:dyDescent="0.25">
      <c r="B19" s="40">
        <v>16</v>
      </c>
      <c r="C19" s="41"/>
      <c r="D19" s="42"/>
      <c r="E19" s="100"/>
      <c r="F19" s="43"/>
      <c r="G19" s="22"/>
      <c r="H19" s="22"/>
      <c r="I19" s="27"/>
      <c r="J19" s="44"/>
      <c r="K19" s="27"/>
      <c r="L19" s="45"/>
      <c r="M19" s="27"/>
      <c r="N19" s="45"/>
      <c r="O19" s="27"/>
      <c r="P19" s="44"/>
      <c r="Q19" s="27"/>
      <c r="R19" s="44"/>
      <c r="S19" s="100"/>
      <c r="T19" s="100"/>
      <c r="U19" s="103"/>
      <c r="V19" s="46" t="str">
        <f t="shared" si="2"/>
        <v/>
      </c>
      <c r="Z19" s="30" t="b">
        <f t="shared" si="0"/>
        <v>0</v>
      </c>
      <c r="AA19" s="30" t="b">
        <f t="shared" si="1"/>
        <v>0</v>
      </c>
    </row>
    <row r="20" spans="2:27" x14ac:dyDescent="0.25">
      <c r="B20" s="33">
        <v>17</v>
      </c>
      <c r="C20" s="34"/>
      <c r="D20" s="35"/>
      <c r="E20" s="99"/>
      <c r="F20" s="36"/>
      <c r="G20" s="29"/>
      <c r="H20" s="29"/>
      <c r="I20" s="26"/>
      <c r="J20" s="37"/>
      <c r="K20" s="26"/>
      <c r="L20" s="38"/>
      <c r="M20" s="26"/>
      <c r="N20" s="38"/>
      <c r="O20" s="26"/>
      <c r="P20" s="37"/>
      <c r="Q20" s="26"/>
      <c r="R20" s="37"/>
      <c r="S20" s="99"/>
      <c r="T20" s="99"/>
      <c r="U20" s="102"/>
      <c r="V20" s="39" t="str">
        <f t="shared" si="2"/>
        <v/>
      </c>
      <c r="Z20" s="30" t="b">
        <f t="shared" si="0"/>
        <v>0</v>
      </c>
      <c r="AA20" s="30" t="b">
        <f t="shared" si="1"/>
        <v>0</v>
      </c>
    </row>
    <row r="21" spans="2:27" x14ac:dyDescent="0.25">
      <c r="B21" s="40">
        <v>18</v>
      </c>
      <c r="C21" s="41"/>
      <c r="D21" s="42"/>
      <c r="E21" s="100"/>
      <c r="F21" s="43"/>
      <c r="G21" s="22"/>
      <c r="H21" s="22"/>
      <c r="I21" s="27"/>
      <c r="J21" s="44"/>
      <c r="K21" s="27"/>
      <c r="L21" s="45"/>
      <c r="M21" s="27"/>
      <c r="N21" s="45"/>
      <c r="O21" s="27"/>
      <c r="P21" s="44"/>
      <c r="Q21" s="27"/>
      <c r="R21" s="44"/>
      <c r="S21" s="100"/>
      <c r="T21" s="100"/>
      <c r="U21" s="103"/>
      <c r="V21" s="46" t="str">
        <f t="shared" si="2"/>
        <v/>
      </c>
      <c r="Z21" s="30" t="b">
        <f t="shared" si="0"/>
        <v>0</v>
      </c>
      <c r="AA21" s="30" t="b">
        <f t="shared" si="1"/>
        <v>0</v>
      </c>
    </row>
    <row r="22" spans="2:27" x14ac:dyDescent="0.25">
      <c r="B22" s="33">
        <v>19</v>
      </c>
      <c r="C22" s="34"/>
      <c r="D22" s="35"/>
      <c r="E22" s="99"/>
      <c r="F22" s="36"/>
      <c r="G22" s="29"/>
      <c r="H22" s="29"/>
      <c r="I22" s="26"/>
      <c r="J22" s="37"/>
      <c r="K22" s="26"/>
      <c r="L22" s="38"/>
      <c r="M22" s="26"/>
      <c r="N22" s="38"/>
      <c r="O22" s="26"/>
      <c r="P22" s="38"/>
      <c r="Q22" s="26"/>
      <c r="R22" s="37"/>
      <c r="S22" s="99"/>
      <c r="T22" s="99"/>
      <c r="U22" s="102"/>
      <c r="V22" s="39" t="str">
        <f t="shared" si="2"/>
        <v/>
      </c>
      <c r="Z22" s="30" t="b">
        <f t="shared" si="0"/>
        <v>0</v>
      </c>
      <c r="AA22" s="30" t="b">
        <f t="shared" si="1"/>
        <v>0</v>
      </c>
    </row>
    <row r="23" spans="2:27" ht="15.75" thickBot="1" x14ac:dyDescent="0.3">
      <c r="B23" s="47">
        <v>20</v>
      </c>
      <c r="C23" s="48"/>
      <c r="D23" s="49"/>
      <c r="E23" s="101"/>
      <c r="F23" s="50"/>
      <c r="G23" s="24"/>
      <c r="H23" s="24"/>
      <c r="I23" s="25"/>
      <c r="J23" s="51"/>
      <c r="K23" s="25"/>
      <c r="L23" s="52"/>
      <c r="M23" s="25"/>
      <c r="N23" s="52"/>
      <c r="O23" s="25"/>
      <c r="P23" s="52"/>
      <c r="Q23" s="25"/>
      <c r="R23" s="51"/>
      <c r="S23" s="101"/>
      <c r="T23" s="101"/>
      <c r="U23" s="104"/>
      <c r="V23" s="53" t="str">
        <f t="shared" si="2"/>
        <v/>
      </c>
      <c r="Z23" s="30" t="b">
        <f t="shared" si="0"/>
        <v>0</v>
      </c>
      <c r="AA23" s="30" t="b">
        <f t="shared" si="1"/>
        <v>0</v>
      </c>
    </row>
  </sheetData>
  <sheetProtection sheet="1" objects="1" scenarios="1" selectLockedCells="1"/>
  <mergeCells count="15">
    <mergeCell ref="V2:V3"/>
    <mergeCell ref="B2:B3"/>
    <mergeCell ref="C2:D2"/>
    <mergeCell ref="K2:L2"/>
    <mergeCell ref="M2:N2"/>
    <mergeCell ref="O2:P2"/>
    <mergeCell ref="Q2:R2"/>
    <mergeCell ref="I2:J2"/>
    <mergeCell ref="E2:E3"/>
    <mergeCell ref="F2:F3"/>
    <mergeCell ref="G2:G3"/>
    <mergeCell ref="S2:S3"/>
    <mergeCell ref="T2:T3"/>
    <mergeCell ref="U2:U3"/>
    <mergeCell ref="H2:H3"/>
  </mergeCells>
  <conditionalFormatting sqref="C4:D23">
    <cfRule type="expression" dxfId="9" priority="107">
      <formula>$AA4</formula>
    </cfRule>
    <cfRule type="expression" dxfId="8" priority="108">
      <formula>$Z4</formula>
    </cfRule>
  </conditionalFormatting>
  <conditionalFormatting sqref="B4:F23 I4:V23">
    <cfRule type="expression" dxfId="7" priority="109" stopIfTrue="1">
      <formula>AND($X4&lt;&gt;"",$Y4&lt;&gt;"")</formula>
    </cfRule>
    <cfRule type="expression" dxfId="6" priority="110">
      <formula>$Y4&lt;&gt;""</formula>
    </cfRule>
    <cfRule type="expression" dxfId="5" priority="111">
      <formula>$X4&lt;&gt;""</formula>
    </cfRule>
  </conditionalFormatting>
  <conditionalFormatting sqref="G4:H23">
    <cfRule type="expression" dxfId="4" priority="117" stopIfTrue="1">
      <formula>AND($X4&lt;&gt;"",$Y4&lt;&gt;"")</formula>
    </cfRule>
    <cfRule type="expression" dxfId="3" priority="118">
      <formula>$Y4&lt;&gt;""</formula>
    </cfRule>
    <cfRule type="expression" dxfId="2" priority="119">
      <formula>$X4&lt;&gt;""</formula>
    </cfRule>
  </conditionalFormatting>
  <conditionalFormatting sqref="G4:G23">
    <cfRule type="expression" dxfId="1" priority="115">
      <formula>$G4&lt;0</formula>
    </cfRule>
    <cfRule type="expression" dxfId="0" priority="116">
      <formula>$G4&gt;0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699" r:id="rId4" name="ButtonRollInitiative">
          <controlPr autoLine="0" r:id="rId5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447675</xdr:colOff>
                <xdr:row>2</xdr:row>
                <xdr:rowOff>190500</xdr:rowOff>
              </to>
            </anchor>
          </controlPr>
        </control>
      </mc:Choice>
      <mc:Fallback>
        <control shapeId="6699" r:id="rId4" name="ButtonRollInitiativ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AT30"/>
  <sheetViews>
    <sheetView zoomScale="70" zoomScaleNormal="70" workbookViewId="0">
      <selection activeCell="B6" sqref="B6"/>
    </sheetView>
  </sheetViews>
  <sheetFormatPr baseColWidth="10" defaultRowHeight="15" x14ac:dyDescent="0.25"/>
  <cols>
    <col min="1" max="1" width="4.28515625" customWidth="1"/>
    <col min="2" max="2" width="21" bestFit="1" customWidth="1"/>
    <col min="3" max="3" width="21.7109375" bestFit="1" customWidth="1"/>
    <col min="4" max="4" width="11.42578125" customWidth="1"/>
    <col min="6" max="6" width="11.42578125" customWidth="1"/>
    <col min="19" max="19" width="4.140625" customWidth="1"/>
    <col min="20" max="32" width="4.28515625" customWidth="1"/>
    <col min="33" max="46" width="7.140625" customWidth="1"/>
  </cols>
  <sheetData>
    <row r="1" spans="2:46" ht="15.75" thickBot="1" x14ac:dyDescent="0.3"/>
    <row r="2" spans="2:46" x14ac:dyDescent="0.25">
      <c r="B2" s="133" t="s">
        <v>62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5"/>
    </row>
    <row r="3" spans="2:46" ht="15.75" thickBot="1" x14ac:dyDescent="0.3">
      <c r="B3" s="136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8"/>
    </row>
    <row r="4" spans="2:46" x14ac:dyDescent="0.25">
      <c r="B4" s="78" t="s">
        <v>19</v>
      </c>
      <c r="C4" s="131" t="s">
        <v>20</v>
      </c>
      <c r="D4" s="128" t="s">
        <v>17</v>
      </c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30"/>
      <c r="R4" s="131" t="s">
        <v>16</v>
      </c>
      <c r="S4" s="128" t="s">
        <v>18</v>
      </c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30"/>
    </row>
    <row r="5" spans="2:46" ht="15.75" thickBot="1" x14ac:dyDescent="0.3">
      <c r="B5" s="79" t="s">
        <v>69</v>
      </c>
      <c r="C5" s="132"/>
      <c r="D5" s="1">
        <v>1</v>
      </c>
      <c r="E5" s="2">
        <v>2</v>
      </c>
      <c r="F5" s="2">
        <v>3</v>
      </c>
      <c r="G5" s="2">
        <v>4</v>
      </c>
      <c r="H5" s="2">
        <v>5</v>
      </c>
      <c r="I5" s="2">
        <v>6</v>
      </c>
      <c r="J5" s="2">
        <v>7</v>
      </c>
      <c r="K5" s="2">
        <v>8</v>
      </c>
      <c r="L5" s="2">
        <v>9</v>
      </c>
      <c r="M5" s="2">
        <v>10</v>
      </c>
      <c r="N5" s="2">
        <v>11</v>
      </c>
      <c r="O5" s="2">
        <v>12</v>
      </c>
      <c r="P5" s="2">
        <v>13</v>
      </c>
      <c r="Q5" s="3">
        <v>14</v>
      </c>
      <c r="R5" s="132"/>
      <c r="S5" s="2">
        <v>1</v>
      </c>
      <c r="T5" s="2">
        <v>2</v>
      </c>
      <c r="U5" s="2">
        <v>3</v>
      </c>
      <c r="V5" s="2">
        <v>4</v>
      </c>
      <c r="W5" s="2">
        <v>5</v>
      </c>
      <c r="X5" s="2">
        <v>6</v>
      </c>
      <c r="Y5" s="2">
        <v>7</v>
      </c>
      <c r="Z5" s="2">
        <v>8</v>
      </c>
      <c r="AA5" s="2">
        <v>9</v>
      </c>
      <c r="AB5" s="2">
        <v>10</v>
      </c>
      <c r="AC5" s="2">
        <v>11</v>
      </c>
      <c r="AD5" s="2">
        <v>12</v>
      </c>
      <c r="AE5" s="2">
        <v>13</v>
      </c>
      <c r="AF5" s="3">
        <v>14</v>
      </c>
    </row>
    <row r="6" spans="2:46" x14ac:dyDescent="0.25">
      <c r="B6" s="4" t="str">
        <f>IF(Personajes!C3="","",Personajes!C3)</f>
        <v/>
      </c>
      <c r="C6" s="77" t="str">
        <f t="shared" ref="C6" si="0">"Tablas!"&amp;ADDRESS(ROW(D6),COLUMN(D6))&amp;":"&amp;ADDRESS(ROW(D6),COLUMN(D6)+COUNTIF(D6:Q6,"*?")-1)</f>
        <v>Tablas!$D$6:$C$6</v>
      </c>
      <c r="D6" s="8" t="str">
        <f t="shared" ref="D6" si="1">IFERROR(MID($R6,S6+1,T6-S6-1),"")</f>
        <v/>
      </c>
      <c r="E6" s="5" t="str">
        <f t="shared" ref="E6" si="2">IFERROR(MID($R6,T6+1,U6-T6-1),"")</f>
        <v/>
      </c>
      <c r="F6" s="5" t="str">
        <f t="shared" ref="F6" si="3">IFERROR(MID($R6,U6+1,V6-U6-1),"")</f>
        <v/>
      </c>
      <c r="G6" s="5" t="str">
        <f t="shared" ref="G6" si="4">IFERROR(MID($R6,V6+1,W6-V6-1),"")</f>
        <v/>
      </c>
      <c r="H6" s="5" t="str">
        <f t="shared" ref="H6" si="5">IFERROR(MID($R6,W6+1,X6-W6-1),"")</f>
        <v/>
      </c>
      <c r="I6" s="5" t="str">
        <f t="shared" ref="I6" si="6">IFERROR(MID($R6,X6+1,Y6-X6-1),"")</f>
        <v/>
      </c>
      <c r="J6" s="5" t="str">
        <f t="shared" ref="J6" si="7">IFERROR(MID($R6,Y6+1,Z6-Y6-1),"")</f>
        <v/>
      </c>
      <c r="K6" s="5" t="str">
        <f t="shared" ref="K6" si="8">IFERROR(MID($R6,Z6+1,AA6-Z6-1),"")</f>
        <v/>
      </c>
      <c r="L6" s="5" t="str">
        <f t="shared" ref="L6" si="9">IFERROR(MID($R6,AA6+1,AB6-AA6-1),"")</f>
        <v/>
      </c>
      <c r="M6" s="5" t="str">
        <f t="shared" ref="M6" si="10">IFERROR(MID($R6,AB6+1,AC6-AB6-1),"")</f>
        <v/>
      </c>
      <c r="N6" s="5" t="str">
        <f t="shared" ref="N6" si="11">IFERROR(MID($R6,AC6+1,AD6-AC6-1),"")</f>
        <v/>
      </c>
      <c r="O6" s="5" t="str">
        <f t="shared" ref="O6" si="12">IFERROR(MID($R6,AD6+1,AE6-AD6-1),"")</f>
        <v/>
      </c>
      <c r="P6" s="5" t="str">
        <f t="shared" ref="P6" si="13">IFERROR(MID($R6,AE6+1,AF6-AE6-1),"")</f>
        <v/>
      </c>
      <c r="Q6" s="5" t="str">
        <f t="shared" ref="Q6" si="14">IFERROR(MID($R6,AF6+1,AG6-AF6-1),"")</f>
        <v/>
      </c>
      <c r="R6" s="77" t="str">
        <f>","&amp;SUBSTITUTE(TRIM(SUBSTITUTE(SUBSTITUTE(SUBSTITUTE(SUBSTITUTE(SUBSTITUTE(SUBSTITUTE(SUBSTITUTE(SUBSTITUTE(SUBSTITUTE(SUBSTITUTE(Personajes!E3,"0",""),"1",""),"2",""),"3",""),"4",""),"5",""),"6",""),"7",""),"8",""),"9","")),", ",",")&amp;","</f>
        <v>,,</v>
      </c>
      <c r="S6" s="9">
        <f t="shared" ref="S6" si="15">IFERROR(SEARCH(",",R6,1),0)</f>
        <v>1</v>
      </c>
      <c r="T6" s="6">
        <f t="shared" ref="T6" si="16">IFERROR(IF(S6=LEN($R6)+1,LEN($R6)+1,SEARCH(",",$R6,S6+1)),LEN($R6)+1)</f>
        <v>2</v>
      </c>
      <c r="U6" s="6">
        <f t="shared" ref="U6" si="17">IFERROR(IF(T6=LEN($R6)+1,LEN($R6)+1,SEARCH(",",$R6,T6+1)),LEN($R6)+1)</f>
        <v>3</v>
      </c>
      <c r="V6" s="6">
        <f t="shared" ref="V6" si="18">IFERROR(IF(U6=LEN($R6)+1,LEN($R6)+1,SEARCH(",",$R6,U6+1)),LEN($R6)+1)</f>
        <v>3</v>
      </c>
      <c r="W6" s="6">
        <f t="shared" ref="W6" si="19">IFERROR(IF(V6=LEN($R6)+1,LEN($R6)+1,SEARCH(",",$R6,V6+1)),LEN($R6)+1)</f>
        <v>3</v>
      </c>
      <c r="X6" s="6">
        <f t="shared" ref="X6" si="20">IFERROR(IF(W6=LEN($R6)+1,LEN($R6)+1,SEARCH(",",$R6,W6+1)),LEN($R6)+1)</f>
        <v>3</v>
      </c>
      <c r="Y6" s="6">
        <f t="shared" ref="Y6" si="21">IFERROR(IF(X6=LEN($R6)+1,LEN($R6)+1,SEARCH(",",$R6,X6+1)),LEN($R6)+1)</f>
        <v>3</v>
      </c>
      <c r="Z6" s="6">
        <f t="shared" ref="Z6" si="22">IFERROR(IF(Y6=LEN($R6)+1,LEN($R6)+1,SEARCH(",",$R6,Y6+1)),LEN($R6)+1)</f>
        <v>3</v>
      </c>
      <c r="AA6" s="6">
        <f t="shared" ref="AA6" si="23">IFERROR(IF(Z6=LEN($R6)+1,LEN($R6)+1,SEARCH(",",$R6,Z6+1)),LEN($R6)+1)</f>
        <v>3</v>
      </c>
      <c r="AB6" s="6">
        <f t="shared" ref="AB6" si="24">IFERROR(IF(AA6=LEN($R6)+1,LEN($R6)+1,SEARCH(",",$R6,AA6+1)),LEN($R6)+1)</f>
        <v>3</v>
      </c>
      <c r="AC6" s="6">
        <f t="shared" ref="AC6" si="25">IFERROR(IF(AB6=LEN($R6)+1,LEN($R6)+1,SEARCH(",",$R6,AB6+1)),LEN($R6)+1)</f>
        <v>3</v>
      </c>
      <c r="AD6" s="6">
        <f t="shared" ref="AD6" si="26">IFERROR(IF(AC6=LEN($R6)+1,LEN($R6)+1,SEARCH(",",$R6,AC6+1)),LEN($R6)+1)</f>
        <v>3</v>
      </c>
      <c r="AE6" s="6">
        <f t="shared" ref="AE6" si="27">IFERROR(IF(AD6=LEN($R6)+1,LEN($R6)+1,SEARCH(",",$R6,AD6+1)),LEN($R6)+1)</f>
        <v>3</v>
      </c>
      <c r="AF6" s="7">
        <f t="shared" ref="AF6" si="28">IFERROR(IF(AE6=LEN($R6)+1,LEN($R6)+1,SEARCH(",",$R6,AE6+1)),LEN($R6)+1)</f>
        <v>3</v>
      </c>
    </row>
    <row r="7" spans="2:46" ht="15.75" thickBot="1" x14ac:dyDescent="0.3"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6"/>
    </row>
    <row r="8" spans="2:46" x14ac:dyDescent="0.25">
      <c r="C8" s="133" t="s">
        <v>58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5"/>
    </row>
    <row r="9" spans="2:46" ht="15.75" thickBot="1" x14ac:dyDescent="0.3">
      <c r="C9" s="136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8"/>
    </row>
    <row r="10" spans="2:46" x14ac:dyDescent="0.25">
      <c r="C10" s="139" t="s">
        <v>19</v>
      </c>
      <c r="D10" s="128" t="s">
        <v>17</v>
      </c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30"/>
      <c r="R10" s="131" t="s">
        <v>16</v>
      </c>
      <c r="S10" s="128" t="s">
        <v>18</v>
      </c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30"/>
    </row>
    <row r="11" spans="2:46" ht="15.75" thickBot="1" x14ac:dyDescent="0.3">
      <c r="C11" s="140"/>
      <c r="D11" s="1">
        <v>1</v>
      </c>
      <c r="E11" s="2">
        <v>2</v>
      </c>
      <c r="F11" s="2">
        <v>3</v>
      </c>
      <c r="G11" s="2">
        <v>4</v>
      </c>
      <c r="H11" s="2">
        <v>5</v>
      </c>
      <c r="I11" s="2">
        <v>6</v>
      </c>
      <c r="J11" s="2">
        <v>7</v>
      </c>
      <c r="K11" s="2">
        <v>8</v>
      </c>
      <c r="L11" s="2">
        <v>9</v>
      </c>
      <c r="M11" s="2">
        <v>10</v>
      </c>
      <c r="N11" s="2">
        <v>11</v>
      </c>
      <c r="O11" s="2">
        <v>12</v>
      </c>
      <c r="P11" s="2">
        <v>13</v>
      </c>
      <c r="Q11" s="3">
        <v>14</v>
      </c>
      <c r="R11" s="132"/>
      <c r="S11" s="2">
        <v>1</v>
      </c>
      <c r="T11" s="2">
        <v>2</v>
      </c>
      <c r="U11" s="2">
        <v>3</v>
      </c>
      <c r="V11" s="2">
        <v>4</v>
      </c>
      <c r="W11" s="2">
        <v>5</v>
      </c>
      <c r="X11" s="2">
        <v>6</v>
      </c>
      <c r="Y11" s="2">
        <v>7</v>
      </c>
      <c r="Z11" s="2">
        <v>8</v>
      </c>
      <c r="AA11" s="2">
        <v>9</v>
      </c>
      <c r="AB11" s="2">
        <v>10</v>
      </c>
      <c r="AC11" s="2">
        <v>11</v>
      </c>
      <c r="AD11" s="2">
        <v>12</v>
      </c>
      <c r="AE11" s="2">
        <v>13</v>
      </c>
      <c r="AF11" s="3">
        <v>14</v>
      </c>
    </row>
    <row r="12" spans="2:46" x14ac:dyDescent="0.25">
      <c r="C12" s="4" t="str">
        <f>IF(Personajes!C3="","",Personajes!C3)</f>
        <v/>
      </c>
      <c r="D12" s="8" t="str">
        <f t="shared" ref="D12" si="29">IFERROR(LEFT(MID($R12,S12+1,T12-S12-1),SEARCH(" ",MID($R12,S12+1,T12-S12-1))),"")</f>
        <v/>
      </c>
      <c r="E12" s="5" t="str">
        <f t="shared" ref="E12" si="30">IFERROR(LEFT(MID($R12,T12+1,U12-T12-1),SEARCH(" ",MID($R12,T12+1,U12-T12-1))),"")</f>
        <v/>
      </c>
      <c r="F12" s="5" t="str">
        <f t="shared" ref="F12" si="31">IFERROR(LEFT(MID($R12,U12+1,V12-U12-1),SEARCH(" ",MID($R12,U12+1,V12-U12-1))),"")</f>
        <v/>
      </c>
      <c r="G12" s="5" t="str">
        <f t="shared" ref="G12" si="32">IFERROR(LEFT(MID($R12,V12+1,W12-V12-1),SEARCH(" ",MID($R12,V12+1,W12-V12-1))),"")</f>
        <v/>
      </c>
      <c r="H12" s="5" t="str">
        <f t="shared" ref="H12" si="33">IFERROR(LEFT(MID($R12,W12+1,X12-W12-1),SEARCH(" ",MID($R12,W12+1,X12-W12-1))),"")</f>
        <v/>
      </c>
      <c r="I12" s="5" t="str">
        <f t="shared" ref="I12" si="34">IFERROR(LEFT(MID($R12,X12+1,Y12-X12-1),SEARCH(" ",MID($R12,X12+1,Y12-X12-1))),"")</f>
        <v/>
      </c>
      <c r="J12" s="5" t="str">
        <f t="shared" ref="J12" si="35">IFERROR(LEFT(MID($R12,Y12+1,Z12-Y12-1),SEARCH(" ",MID($R12,Y12+1,Z12-Y12-1))),"")</f>
        <v/>
      </c>
      <c r="K12" s="5" t="str">
        <f t="shared" ref="K12" si="36">IFERROR(LEFT(MID($R12,Z12+1,AA12-Z12-1),SEARCH(" ",MID($R12,Z12+1,AA12-Z12-1))),"")</f>
        <v/>
      </c>
      <c r="L12" s="5" t="str">
        <f t="shared" ref="L12" si="37">IFERROR(LEFT(MID($R12,AA12+1,AB12-AA12-1),SEARCH(" ",MID($R12,AA12+1,AB12-AA12-1))),"")</f>
        <v/>
      </c>
      <c r="M12" s="5" t="str">
        <f t="shared" ref="M12" si="38">IFERROR(LEFT(MID($R12,AB12+1,AC12-AB12-1),SEARCH(" ",MID($R12,AB12+1,AC12-AB12-1))),"")</f>
        <v/>
      </c>
      <c r="N12" s="5" t="str">
        <f t="shared" ref="N12" si="39">IFERROR(LEFT(MID($R12,AC12+1,AD12-AC12-1),SEARCH(" ",MID($R12,AC12+1,AD12-AC12-1))),"")</f>
        <v/>
      </c>
      <c r="O12" s="5" t="str">
        <f t="shared" ref="O12" si="40">IFERROR(LEFT(MID($R12,AD12+1,AE12-AD12-1),SEARCH(" ",MID($R12,AD12+1,AE12-AD12-1))),"")</f>
        <v/>
      </c>
      <c r="P12" s="5" t="str">
        <f t="shared" ref="P12" si="41">IFERROR(LEFT(MID($R12,AE12+1,AF12-AE12-1),SEARCH(" ",MID($R12,AE12+1,AF12-AE12-1))),"")</f>
        <v/>
      </c>
      <c r="Q12" s="5" t="str">
        <f>IFERROR(LEFT(MID($R12,AF12+1,#REF!-AF12-1),SEARCH(" ",MID($R12,AF12+1,#REF!-AF12-1))),"")</f>
        <v/>
      </c>
      <c r="R12" s="8" t="str">
        <f>","&amp;SUBSTITUTE(Personajes!E3,", ",",")</f>
        <v>,</v>
      </c>
      <c r="S12" s="8">
        <f t="shared" ref="S12" si="42">IFERROR(SEARCH(",",R12,1),0)</f>
        <v>1</v>
      </c>
      <c r="T12" s="5">
        <f t="shared" ref="T12" si="43">IFERROR(IF(S12=LEN($R12)+1,LEN($R12)+1,SEARCH(",",$R12,S12+1)),LEN($R12)+1)</f>
        <v>2</v>
      </c>
      <c r="U12" s="5">
        <f t="shared" ref="U12" si="44">IFERROR(IF(T12=LEN($R12)+1,LEN($R12)+1,SEARCH(",",$R12,T12+1)),LEN($R12)+1)</f>
        <v>2</v>
      </c>
      <c r="V12" s="5">
        <f t="shared" ref="V12" si="45">IFERROR(IF(U12=LEN($R12)+1,LEN($R12)+1,SEARCH(",",$R12,U12+1)),LEN($R12)+1)</f>
        <v>2</v>
      </c>
      <c r="W12" s="5">
        <f t="shared" ref="W12" si="46">IFERROR(IF(V12=LEN($R12)+1,LEN($R12)+1,SEARCH(",",$R12,V12+1)),LEN($R12)+1)</f>
        <v>2</v>
      </c>
      <c r="X12" s="5">
        <f t="shared" ref="X12" si="47">IFERROR(IF(W12=LEN($R12)+1,LEN($R12)+1,SEARCH(",",$R12,W12+1)),LEN($R12)+1)</f>
        <v>2</v>
      </c>
      <c r="Y12" s="5">
        <f t="shared" ref="Y12" si="48">IFERROR(IF(X12=LEN($R12)+1,LEN($R12)+1,SEARCH(",",$R12,X12+1)),LEN($R12)+1)</f>
        <v>2</v>
      </c>
      <c r="Z12" s="5">
        <f t="shared" ref="Z12" si="49">IFERROR(IF(Y12=LEN($R12)+1,LEN($R12)+1,SEARCH(",",$R12,Y12+1)),LEN($R12)+1)</f>
        <v>2</v>
      </c>
      <c r="AA12" s="5">
        <f t="shared" ref="AA12" si="50">IFERROR(IF(Z12=LEN($R12)+1,LEN($R12)+1,SEARCH(",",$R12,Z12+1)),LEN($R12)+1)</f>
        <v>2</v>
      </c>
      <c r="AB12" s="5">
        <f t="shared" ref="AB12" si="51">IFERROR(IF(AA12=LEN($R12)+1,LEN($R12)+1,SEARCH(",",$R12,AA12+1)),LEN($R12)+1)</f>
        <v>2</v>
      </c>
      <c r="AC12" s="5">
        <f t="shared" ref="AC12" si="52">IFERROR(IF(AB12=LEN($R12)+1,LEN($R12)+1,SEARCH(",",$R12,AB12+1)),LEN($R12)+1)</f>
        <v>2</v>
      </c>
      <c r="AD12" s="5">
        <f t="shared" ref="AD12" si="53">IFERROR(IF(AC12=LEN($R12)+1,LEN($R12)+1,SEARCH(",",$R12,AC12+1)),LEN($R12)+1)</f>
        <v>2</v>
      </c>
      <c r="AE12" s="5">
        <f t="shared" ref="AE12" si="54">IFERROR(IF(AD12=LEN($R12)+1,LEN($R12)+1,SEARCH(",",$R12,AD12+1)),LEN($R12)+1)</f>
        <v>2</v>
      </c>
      <c r="AF12" s="10">
        <f t="shared" ref="AF12" si="55">IFERROR(IF(AE12=LEN($R12)+1,LEN($R12)+1,SEARCH(",",$R12,AE12+1)),LEN($R12)+1)</f>
        <v>2</v>
      </c>
    </row>
    <row r="13" spans="2:46" ht="15.75" thickBot="1" x14ac:dyDescent="0.3"/>
    <row r="14" spans="2:46" ht="23.25" customHeight="1" x14ac:dyDescent="0.25">
      <c r="C14" s="133" t="s">
        <v>59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5"/>
    </row>
    <row r="15" spans="2:46" ht="15.75" thickBot="1" x14ac:dyDescent="0.3">
      <c r="C15" s="136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8"/>
    </row>
    <row r="16" spans="2:46" x14ac:dyDescent="0.25">
      <c r="C16" s="139" t="s">
        <v>19</v>
      </c>
      <c r="D16" s="128" t="s">
        <v>17</v>
      </c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30"/>
      <c r="R16" s="131" t="s">
        <v>16</v>
      </c>
      <c r="S16" s="128" t="s">
        <v>18</v>
      </c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30"/>
      <c r="AG16" s="128" t="s">
        <v>21</v>
      </c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  <c r="AS16" s="129"/>
      <c r="AT16" s="130"/>
    </row>
    <row r="17" spans="3:46" ht="15.75" thickBot="1" x14ac:dyDescent="0.3">
      <c r="C17" s="140"/>
      <c r="D17" s="1">
        <v>1</v>
      </c>
      <c r="E17" s="2">
        <v>2</v>
      </c>
      <c r="F17" s="2">
        <v>3</v>
      </c>
      <c r="G17" s="2">
        <v>4</v>
      </c>
      <c r="H17" s="2">
        <v>5</v>
      </c>
      <c r="I17" s="2">
        <v>6</v>
      </c>
      <c r="J17" s="2">
        <v>7</v>
      </c>
      <c r="K17" s="2">
        <v>8</v>
      </c>
      <c r="L17" s="2">
        <v>9</v>
      </c>
      <c r="M17" s="2">
        <v>10</v>
      </c>
      <c r="N17" s="2">
        <v>11</v>
      </c>
      <c r="O17" s="2">
        <v>12</v>
      </c>
      <c r="P17" s="2">
        <v>13</v>
      </c>
      <c r="Q17" s="3">
        <v>14</v>
      </c>
      <c r="R17" s="132"/>
      <c r="S17" s="2">
        <v>1</v>
      </c>
      <c r="T17" s="2">
        <v>2</v>
      </c>
      <c r="U17" s="2">
        <v>3</v>
      </c>
      <c r="V17" s="2">
        <v>4</v>
      </c>
      <c r="W17" s="2">
        <v>5</v>
      </c>
      <c r="X17" s="2">
        <v>6</v>
      </c>
      <c r="Y17" s="2">
        <v>7</v>
      </c>
      <c r="Z17" s="2">
        <v>8</v>
      </c>
      <c r="AA17" s="2">
        <v>9</v>
      </c>
      <c r="AB17" s="2">
        <v>10</v>
      </c>
      <c r="AC17" s="2">
        <v>11</v>
      </c>
      <c r="AD17" s="2">
        <v>12</v>
      </c>
      <c r="AE17" s="2">
        <v>13</v>
      </c>
      <c r="AF17" s="3">
        <v>14</v>
      </c>
      <c r="AG17" s="2">
        <v>1</v>
      </c>
      <c r="AH17" s="2">
        <v>2</v>
      </c>
      <c r="AI17" s="2">
        <v>3</v>
      </c>
      <c r="AJ17" s="2">
        <v>4</v>
      </c>
      <c r="AK17" s="2">
        <v>5</v>
      </c>
      <c r="AL17" s="2">
        <v>6</v>
      </c>
      <c r="AM17" s="2">
        <v>7</v>
      </c>
      <c r="AN17" s="2">
        <v>8</v>
      </c>
      <c r="AO17" s="2">
        <v>9</v>
      </c>
      <c r="AP17" s="2">
        <v>10</v>
      </c>
      <c r="AQ17" s="2">
        <v>11</v>
      </c>
      <c r="AR17" s="2">
        <v>12</v>
      </c>
      <c r="AS17" s="2">
        <v>13</v>
      </c>
      <c r="AT17" s="3">
        <v>14</v>
      </c>
    </row>
    <row r="18" spans="3:46" x14ac:dyDescent="0.25">
      <c r="C18" s="4" t="str">
        <f>IF(Personajes!C3="","",Personajes!C3)</f>
        <v/>
      </c>
      <c r="D18" s="8" t="str">
        <f t="shared" ref="D18:Q18" si="56">IFERROR(LEFT(AG18,SEARCH(" ",AG18))&amp;IFERROR(MID(AG18,SEARCH(" y ",AG18)+1,SEARCH(" ",AG18,SEARCH(" y ",AG18)+4)-SEARCH(" y ",AG18)-1),""),"")</f>
        <v/>
      </c>
      <c r="E18" s="5" t="str">
        <f t="shared" si="56"/>
        <v/>
      </c>
      <c r="F18" s="5" t="str">
        <f t="shared" si="56"/>
        <v/>
      </c>
      <c r="G18" s="5" t="str">
        <f t="shared" si="56"/>
        <v/>
      </c>
      <c r="H18" s="5" t="str">
        <f t="shared" si="56"/>
        <v/>
      </c>
      <c r="I18" s="5" t="str">
        <f t="shared" si="56"/>
        <v/>
      </c>
      <c r="J18" s="5" t="str">
        <f t="shared" si="56"/>
        <v/>
      </c>
      <c r="K18" s="5" t="str">
        <f t="shared" si="56"/>
        <v/>
      </c>
      <c r="L18" s="5" t="str">
        <f t="shared" si="56"/>
        <v/>
      </c>
      <c r="M18" s="5" t="str">
        <f t="shared" si="56"/>
        <v/>
      </c>
      <c r="N18" s="5" t="str">
        <f t="shared" si="56"/>
        <v/>
      </c>
      <c r="O18" s="5" t="str">
        <f t="shared" si="56"/>
        <v/>
      </c>
      <c r="P18" s="5" t="str">
        <f t="shared" si="56"/>
        <v/>
      </c>
      <c r="Q18" s="5" t="str">
        <f t="shared" si="56"/>
        <v/>
      </c>
      <c r="R18" s="8" t="str">
        <f>","&amp;SUBSTITUTE(Personajes!F3,", ",",")</f>
        <v>,</v>
      </c>
      <c r="S18" s="8">
        <f t="shared" ref="S18" si="57">IFERROR(SEARCH(",",R18,1),0)</f>
        <v>1</v>
      </c>
      <c r="T18" s="5">
        <f t="shared" ref="T18" si="58">IFERROR(IF(S18=LEN($R18)+1,LEN($R18)+1,SEARCH(",",$R18,S18+1)),LEN($R18)+1)</f>
        <v>2</v>
      </c>
      <c r="U18" s="5">
        <f t="shared" ref="U18" si="59">IFERROR(IF(T18=LEN($R18)+1,LEN($R18)+1,SEARCH(",",$R18,T18+1)),LEN($R18)+1)</f>
        <v>2</v>
      </c>
      <c r="V18" s="5">
        <f t="shared" ref="V18" si="60">IFERROR(IF(U18=LEN($R18)+1,LEN($R18)+1,SEARCH(",",$R18,U18+1)),LEN($R18)+1)</f>
        <v>2</v>
      </c>
      <c r="W18" s="5">
        <f t="shared" ref="W18" si="61">IFERROR(IF(V18=LEN($R18)+1,LEN($R18)+1,SEARCH(",",$R18,V18+1)),LEN($R18)+1)</f>
        <v>2</v>
      </c>
      <c r="X18" s="5">
        <f t="shared" ref="X18" si="62">IFERROR(IF(W18=LEN($R18)+1,LEN($R18)+1,SEARCH(",",$R18,W18+1)),LEN($R18)+1)</f>
        <v>2</v>
      </c>
      <c r="Y18" s="5">
        <f t="shared" ref="Y18" si="63">IFERROR(IF(X18=LEN($R18)+1,LEN($R18)+1,SEARCH(",",$R18,X18+1)),LEN($R18)+1)</f>
        <v>2</v>
      </c>
      <c r="Z18" s="5">
        <f t="shared" ref="Z18" si="64">IFERROR(IF(Y18=LEN($R18)+1,LEN($R18)+1,SEARCH(",",$R18,Y18+1)),LEN($R18)+1)</f>
        <v>2</v>
      </c>
      <c r="AA18" s="5">
        <f t="shared" ref="AA18" si="65">IFERROR(IF(Z18=LEN($R18)+1,LEN($R18)+1,SEARCH(",",$R18,Z18+1)),LEN($R18)+1)</f>
        <v>2</v>
      </c>
      <c r="AB18" s="5">
        <f t="shared" ref="AB18" si="66">IFERROR(IF(AA18=LEN($R18)+1,LEN($R18)+1,SEARCH(",",$R18,AA18+1)),LEN($R18)+1)</f>
        <v>2</v>
      </c>
      <c r="AC18" s="5">
        <f t="shared" ref="AC18" si="67">IFERROR(IF(AB18=LEN($R18)+1,LEN($R18)+1,SEARCH(",",$R18,AB18+1)),LEN($R18)+1)</f>
        <v>2</v>
      </c>
      <c r="AD18" s="5">
        <f t="shared" ref="AD18" si="68">IFERROR(IF(AC18=LEN($R18)+1,LEN($R18)+1,SEARCH(",",$R18,AC18+1)),LEN($R18)+1)</f>
        <v>2</v>
      </c>
      <c r="AE18" s="5">
        <f t="shared" ref="AE18" si="69">IFERROR(IF(AD18=LEN($R18)+1,LEN($R18)+1,SEARCH(",",$R18,AD18+1)),LEN($R18)+1)</f>
        <v>2</v>
      </c>
      <c r="AF18" s="5">
        <f t="shared" ref="AF18" si="70">IFERROR(IF(AE18=LEN($R18)+1,LEN($R18)+1,SEARCH(",",$R18,AE18+1)),LEN($R18)+1)</f>
        <v>2</v>
      </c>
      <c r="AG18" s="8" t="str">
        <f t="shared" ref="AG18:AT18" si="71">IFERROR(MID($R18,S18+1,T18-S18-1),"")</f>
        <v/>
      </c>
      <c r="AH18" s="5" t="str">
        <f t="shared" si="71"/>
        <v/>
      </c>
      <c r="AI18" s="5" t="str">
        <f t="shared" si="71"/>
        <v/>
      </c>
      <c r="AJ18" s="5" t="str">
        <f t="shared" si="71"/>
        <v/>
      </c>
      <c r="AK18" s="5" t="str">
        <f t="shared" si="71"/>
        <v/>
      </c>
      <c r="AL18" s="5" t="str">
        <f t="shared" si="71"/>
        <v/>
      </c>
      <c r="AM18" s="5" t="str">
        <f t="shared" si="71"/>
        <v/>
      </c>
      <c r="AN18" s="5" t="str">
        <f t="shared" si="71"/>
        <v/>
      </c>
      <c r="AO18" s="5" t="str">
        <f t="shared" si="71"/>
        <v/>
      </c>
      <c r="AP18" s="5" t="str">
        <f t="shared" si="71"/>
        <v/>
      </c>
      <c r="AQ18" s="5" t="str">
        <f t="shared" si="71"/>
        <v/>
      </c>
      <c r="AR18" s="5" t="str">
        <f t="shared" si="71"/>
        <v/>
      </c>
      <c r="AS18" s="5" t="str">
        <f t="shared" si="71"/>
        <v/>
      </c>
      <c r="AT18" s="10" t="str">
        <f t="shared" si="71"/>
        <v/>
      </c>
    </row>
    <row r="19" spans="3:46" ht="15.75" customHeight="1" thickBot="1" x14ac:dyDescent="0.3"/>
    <row r="20" spans="3:46" x14ac:dyDescent="0.25">
      <c r="C20" s="133" t="s">
        <v>60</v>
      </c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5"/>
    </row>
    <row r="21" spans="3:46" ht="15.75" thickBot="1" x14ac:dyDescent="0.3">
      <c r="C21" s="136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8"/>
    </row>
    <row r="22" spans="3:46" x14ac:dyDescent="0.25">
      <c r="C22" s="139" t="s">
        <v>19</v>
      </c>
      <c r="D22" s="128" t="s">
        <v>17</v>
      </c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30"/>
      <c r="R22" s="131" t="s">
        <v>16</v>
      </c>
      <c r="S22" s="128" t="s">
        <v>18</v>
      </c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30"/>
    </row>
    <row r="23" spans="3:46" ht="15.75" thickBot="1" x14ac:dyDescent="0.3">
      <c r="C23" s="140"/>
      <c r="D23" s="1">
        <v>1</v>
      </c>
      <c r="E23" s="2">
        <v>2</v>
      </c>
      <c r="F23" s="2">
        <v>3</v>
      </c>
      <c r="G23" s="2">
        <v>4</v>
      </c>
      <c r="H23" s="2">
        <v>5</v>
      </c>
      <c r="I23" s="2">
        <v>6</v>
      </c>
      <c r="J23" s="2">
        <v>7</v>
      </c>
      <c r="K23" s="2">
        <v>8</v>
      </c>
      <c r="L23" s="2">
        <v>9</v>
      </c>
      <c r="M23" s="2">
        <v>10</v>
      </c>
      <c r="N23" s="2">
        <v>11</v>
      </c>
      <c r="O23" s="2">
        <v>12</v>
      </c>
      <c r="P23" s="2">
        <v>13</v>
      </c>
      <c r="Q23" s="3">
        <v>14</v>
      </c>
      <c r="R23" s="132"/>
      <c r="S23" s="2">
        <v>1</v>
      </c>
      <c r="T23" s="2">
        <v>2</v>
      </c>
      <c r="U23" s="2">
        <v>3</v>
      </c>
      <c r="V23" s="2">
        <v>4</v>
      </c>
      <c r="W23" s="2">
        <v>5</v>
      </c>
      <c r="X23" s="2">
        <v>6</v>
      </c>
      <c r="Y23" s="2">
        <v>7</v>
      </c>
      <c r="Z23" s="2">
        <v>8</v>
      </c>
      <c r="AA23" s="2">
        <v>9</v>
      </c>
      <c r="AB23" s="2">
        <v>10</v>
      </c>
      <c r="AC23" s="2">
        <v>11</v>
      </c>
      <c r="AD23" s="2">
        <v>12</v>
      </c>
      <c r="AE23" s="2">
        <v>13</v>
      </c>
      <c r="AF23" s="3">
        <v>14</v>
      </c>
    </row>
    <row r="24" spans="3:46" x14ac:dyDescent="0.25">
      <c r="C24" s="4" t="str">
        <f>IF(Personajes!C3="","",Personajes!C3)</f>
        <v/>
      </c>
      <c r="D24" s="8" t="str">
        <f t="shared" ref="D24" si="72">IFERROR(LEFT(MID($R24,S24+1,T24-S24-1),SEARCH(" ",MID($R24,S24+1,T24-S24-1))),"")</f>
        <v/>
      </c>
      <c r="E24" s="5" t="str">
        <f t="shared" ref="E24" si="73">IFERROR(LEFT(MID($R24,T24+1,U24-T24-1),SEARCH(" ",MID($R24,T24+1,U24-T24-1))),"")</f>
        <v/>
      </c>
      <c r="F24" s="5" t="str">
        <f t="shared" ref="F24" si="74">IFERROR(LEFT(MID($R24,U24+1,V24-U24-1),SEARCH(" ",MID($R24,U24+1,V24-U24-1))),"")</f>
        <v/>
      </c>
      <c r="G24" s="5" t="str">
        <f t="shared" ref="G24" si="75">IFERROR(LEFT(MID($R24,V24+1,W24-V24-1),SEARCH(" ",MID($R24,V24+1,W24-V24-1))),"")</f>
        <v/>
      </c>
      <c r="H24" s="5" t="str">
        <f t="shared" ref="H24" si="76">IFERROR(LEFT(MID($R24,W24+1,X24-W24-1),SEARCH(" ",MID($R24,W24+1,X24-W24-1))),"")</f>
        <v/>
      </c>
      <c r="I24" s="5" t="str">
        <f t="shared" ref="I24" si="77">IFERROR(LEFT(MID($R24,X24+1,Y24-X24-1),SEARCH(" ",MID($R24,X24+1,Y24-X24-1))),"")</f>
        <v/>
      </c>
      <c r="J24" s="5" t="str">
        <f t="shared" ref="J24" si="78">IFERROR(LEFT(MID($R24,Y24+1,Z24-Y24-1),SEARCH(" ",MID($R24,Y24+1,Z24-Y24-1))),"")</f>
        <v/>
      </c>
      <c r="K24" s="5" t="str">
        <f t="shared" ref="K24" si="79">IFERROR(LEFT(MID($R24,Z24+1,AA24-Z24-1),SEARCH(" ",MID($R24,Z24+1,AA24-Z24-1))),"")</f>
        <v/>
      </c>
      <c r="L24" s="5" t="str">
        <f t="shared" ref="L24" si="80">IFERROR(LEFT(MID($R24,AA24+1,AB24-AA24-1),SEARCH(" ",MID($R24,AA24+1,AB24-AA24-1))),"")</f>
        <v/>
      </c>
      <c r="M24" s="5" t="str">
        <f t="shared" ref="M24" si="81">IFERROR(LEFT(MID($R24,AB24+1,AC24-AB24-1),SEARCH(" ",MID($R24,AB24+1,AC24-AB24-1))),"")</f>
        <v/>
      </c>
      <c r="N24" s="5" t="str">
        <f t="shared" ref="N24" si="82">IFERROR(LEFT(MID($R24,AC24+1,AD24-AC24-1),SEARCH(" ",MID($R24,AC24+1,AD24-AC24-1))),"")</f>
        <v/>
      </c>
      <c r="O24" s="5" t="str">
        <f t="shared" ref="O24" si="83">IFERROR(LEFT(MID($R24,AD24+1,AE24-AD24-1),SEARCH(" ",MID($R24,AD24+1,AE24-AD24-1))),"")</f>
        <v/>
      </c>
      <c r="P24" s="5" t="str">
        <f t="shared" ref="P24" si="84">IFERROR(LEFT(MID($R24,AE24+1,AF24-AE24-1),SEARCH(" ",MID($R24,AE24+1,AF24-AE24-1))),"")</f>
        <v/>
      </c>
      <c r="Q24" s="5" t="str">
        <f>IFERROR(LEFT(MID($R24,AF24+1,#REF!-AF24-1),SEARCH(" ",MID($R24,AF24+1,#REF!-AF24-1))),"")</f>
        <v/>
      </c>
      <c r="R24" s="8" t="str">
        <f>IF(RIGHT(Personajes!G3,7)="Esquiva","",","&amp;SUBSTITUTE(Personajes!G3,", ",","))</f>
        <v>,</v>
      </c>
      <c r="S24" s="8">
        <f t="shared" ref="S24" si="85">IFERROR(SEARCH(",",R24,1),0)</f>
        <v>1</v>
      </c>
      <c r="T24" s="5">
        <f t="shared" ref="T24" si="86">IFERROR(IF(S24=LEN($R24)+1,LEN($R24)+1,SEARCH(",",$R24,S24+1)),LEN($R24)+1)</f>
        <v>2</v>
      </c>
      <c r="U24" s="5">
        <f t="shared" ref="U24" si="87">IFERROR(IF(T24=LEN($R24)+1,LEN($R24)+1,SEARCH(",",$R24,T24+1)),LEN($R24)+1)</f>
        <v>2</v>
      </c>
      <c r="V24" s="5">
        <f t="shared" ref="V24" si="88">IFERROR(IF(U24=LEN($R24)+1,LEN($R24)+1,SEARCH(",",$R24,U24+1)),LEN($R24)+1)</f>
        <v>2</v>
      </c>
      <c r="W24" s="5">
        <f t="shared" ref="W24" si="89">IFERROR(IF(V24=LEN($R24)+1,LEN($R24)+1,SEARCH(",",$R24,V24+1)),LEN($R24)+1)</f>
        <v>2</v>
      </c>
      <c r="X24" s="5">
        <f t="shared" ref="X24" si="90">IFERROR(IF(W24=LEN($R24)+1,LEN($R24)+1,SEARCH(",",$R24,W24+1)),LEN($R24)+1)</f>
        <v>2</v>
      </c>
      <c r="Y24" s="5">
        <f t="shared" ref="Y24" si="91">IFERROR(IF(X24=LEN($R24)+1,LEN($R24)+1,SEARCH(",",$R24,X24+1)),LEN($R24)+1)</f>
        <v>2</v>
      </c>
      <c r="Z24" s="5">
        <f t="shared" ref="Z24" si="92">IFERROR(IF(Y24=LEN($R24)+1,LEN($R24)+1,SEARCH(",",$R24,Y24+1)),LEN($R24)+1)</f>
        <v>2</v>
      </c>
      <c r="AA24" s="5">
        <f t="shared" ref="AA24" si="93">IFERROR(IF(Z24=LEN($R24)+1,LEN($R24)+1,SEARCH(",",$R24,Z24+1)),LEN($R24)+1)</f>
        <v>2</v>
      </c>
      <c r="AB24" s="5">
        <f t="shared" ref="AB24" si="94">IFERROR(IF(AA24=LEN($R24)+1,LEN($R24)+1,SEARCH(",",$R24,AA24+1)),LEN($R24)+1)</f>
        <v>2</v>
      </c>
      <c r="AC24" s="5">
        <f t="shared" ref="AC24" si="95">IFERROR(IF(AB24=LEN($R24)+1,LEN($R24)+1,SEARCH(",",$R24,AB24+1)),LEN($R24)+1)</f>
        <v>2</v>
      </c>
      <c r="AD24" s="5">
        <f t="shared" ref="AD24" si="96">IFERROR(IF(AC24=LEN($R24)+1,LEN($R24)+1,SEARCH(",",$R24,AC24+1)),LEN($R24)+1)</f>
        <v>2</v>
      </c>
      <c r="AE24" s="5">
        <f t="shared" ref="AE24" si="97">IFERROR(IF(AD24=LEN($R24)+1,LEN($R24)+1,SEARCH(",",$R24,AD24+1)),LEN($R24)+1)</f>
        <v>2</v>
      </c>
      <c r="AF24" s="10">
        <f t="shared" ref="AF24" si="98">IFERROR(IF(AE24=LEN($R24)+1,LEN($R24)+1,SEARCH(",",$R24,AE24+1)),LEN($R24)+1)</f>
        <v>2</v>
      </c>
    </row>
    <row r="25" spans="3:46" ht="15.75" thickBot="1" x14ac:dyDescent="0.3"/>
    <row r="26" spans="3:46" ht="23.25" customHeight="1" x14ac:dyDescent="0.25">
      <c r="C26" s="133" t="s">
        <v>61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5"/>
    </row>
    <row r="27" spans="3:46" ht="15.75" thickBot="1" x14ac:dyDescent="0.3">
      <c r="C27" s="136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8"/>
    </row>
    <row r="28" spans="3:46" x14ac:dyDescent="0.25">
      <c r="C28" s="139" t="s">
        <v>19</v>
      </c>
      <c r="D28" s="128" t="s">
        <v>17</v>
      </c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30"/>
      <c r="R28" s="131" t="s">
        <v>16</v>
      </c>
      <c r="S28" s="128" t="s">
        <v>18</v>
      </c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30"/>
      <c r="AG28" s="128" t="s">
        <v>21</v>
      </c>
      <c r="AH28" s="129"/>
      <c r="AI28" s="129"/>
      <c r="AJ28" s="129"/>
      <c r="AK28" s="129"/>
      <c r="AL28" s="129"/>
      <c r="AM28" s="129"/>
      <c r="AN28" s="129"/>
      <c r="AO28" s="129"/>
      <c r="AP28" s="129"/>
      <c r="AQ28" s="129"/>
      <c r="AR28" s="129"/>
      <c r="AS28" s="129"/>
      <c r="AT28" s="130"/>
    </row>
    <row r="29" spans="3:46" ht="15.75" thickBot="1" x14ac:dyDescent="0.3">
      <c r="C29" s="140"/>
      <c r="D29" s="1">
        <v>1</v>
      </c>
      <c r="E29" s="2">
        <v>2</v>
      </c>
      <c r="F29" s="2">
        <v>3</v>
      </c>
      <c r="G29" s="2">
        <v>4</v>
      </c>
      <c r="H29" s="2">
        <v>5</v>
      </c>
      <c r="I29" s="2">
        <v>6</v>
      </c>
      <c r="J29" s="2">
        <v>7</v>
      </c>
      <c r="K29" s="2">
        <v>8</v>
      </c>
      <c r="L29" s="2">
        <v>9</v>
      </c>
      <c r="M29" s="2">
        <v>10</v>
      </c>
      <c r="N29" s="2">
        <v>11</v>
      </c>
      <c r="O29" s="2">
        <v>12</v>
      </c>
      <c r="P29" s="2">
        <v>13</v>
      </c>
      <c r="Q29" s="3">
        <v>14</v>
      </c>
      <c r="R29" s="132"/>
      <c r="S29" s="2">
        <v>1</v>
      </c>
      <c r="T29" s="2">
        <v>2</v>
      </c>
      <c r="U29" s="2">
        <v>3</v>
      </c>
      <c r="V29" s="2">
        <v>4</v>
      </c>
      <c r="W29" s="2">
        <v>5</v>
      </c>
      <c r="X29" s="2">
        <v>6</v>
      </c>
      <c r="Y29" s="2">
        <v>7</v>
      </c>
      <c r="Z29" s="2">
        <v>8</v>
      </c>
      <c r="AA29" s="2">
        <v>9</v>
      </c>
      <c r="AB29" s="2">
        <v>10</v>
      </c>
      <c r="AC29" s="2">
        <v>11</v>
      </c>
      <c r="AD29" s="2">
        <v>12</v>
      </c>
      <c r="AE29" s="2">
        <v>13</v>
      </c>
      <c r="AF29" s="3">
        <v>14</v>
      </c>
      <c r="AG29" s="2">
        <v>1</v>
      </c>
      <c r="AH29" s="2">
        <v>2</v>
      </c>
      <c r="AI29" s="2">
        <v>3</v>
      </c>
      <c r="AJ29" s="2">
        <v>4</v>
      </c>
      <c r="AK29" s="2">
        <v>5</v>
      </c>
      <c r="AL29" s="2">
        <v>6</v>
      </c>
      <c r="AM29" s="2">
        <v>7</v>
      </c>
      <c r="AN29" s="2">
        <v>8</v>
      </c>
      <c r="AO29" s="2">
        <v>9</v>
      </c>
      <c r="AP29" s="2">
        <v>10</v>
      </c>
      <c r="AQ29" s="2">
        <v>11</v>
      </c>
      <c r="AR29" s="2">
        <v>12</v>
      </c>
      <c r="AS29" s="2">
        <v>13</v>
      </c>
      <c r="AT29" s="3">
        <v>14</v>
      </c>
    </row>
    <row r="30" spans="3:46" x14ac:dyDescent="0.25">
      <c r="C30" s="4" t="str">
        <f>IF(Personajes!C3="","",Personajes!C3)</f>
        <v/>
      </c>
      <c r="D30" s="8" t="str">
        <f t="shared" ref="D30:Q30" si="99">IFERROR(LEFT(AG30,SEARCH(" ",AG30))&amp;MID(AG30,SEARCH("(",AG30)+1,SEARCH(")",AG30)-SEARCH("(",AG30)-1)&amp;IFERROR(MID(AG30,SEARCH(" y ",AG30),SEARCH(" ",AG30,SEARCH(" y ",AG30)+4)-SEARCH(" y ",AG30))&amp;" "&amp;MID(AG30,SEARCH("(",AG30,SEARCH(" y ",AG30))+1,SEARCH(")",AG30,SEARCH(" y ",AG30))-SEARCH("(",AG30,SEARCH(" y ",AG30))-1),""),"")</f>
        <v/>
      </c>
      <c r="E30" s="5" t="str">
        <f t="shared" si="99"/>
        <v/>
      </c>
      <c r="F30" s="5" t="str">
        <f t="shared" si="99"/>
        <v/>
      </c>
      <c r="G30" s="5" t="str">
        <f t="shared" si="99"/>
        <v/>
      </c>
      <c r="H30" s="5" t="str">
        <f t="shared" si="99"/>
        <v/>
      </c>
      <c r="I30" s="5" t="str">
        <f t="shared" si="99"/>
        <v/>
      </c>
      <c r="J30" s="5" t="str">
        <f t="shared" si="99"/>
        <v/>
      </c>
      <c r="K30" s="5" t="str">
        <f t="shared" si="99"/>
        <v/>
      </c>
      <c r="L30" s="5" t="str">
        <f t="shared" si="99"/>
        <v/>
      </c>
      <c r="M30" s="5" t="str">
        <f t="shared" si="99"/>
        <v/>
      </c>
      <c r="N30" s="5" t="str">
        <f t="shared" si="99"/>
        <v/>
      </c>
      <c r="O30" s="5" t="str">
        <f t="shared" si="99"/>
        <v/>
      </c>
      <c r="P30" s="5" t="str">
        <f t="shared" si="99"/>
        <v/>
      </c>
      <c r="Q30" s="5" t="str">
        <f t="shared" si="99"/>
        <v/>
      </c>
      <c r="R30" s="8" t="str">
        <f>","&amp;SUBSTITUTE(Personajes!H3,", ",",")</f>
        <v>,</v>
      </c>
      <c r="S30" s="8">
        <f t="shared" ref="S30" si="100">IFERROR(SEARCH(",",R30,1),0)</f>
        <v>1</v>
      </c>
      <c r="T30" s="5">
        <f t="shared" ref="T30" si="101">IFERROR(IF(S30=LEN($R30)+1,LEN($R30)+1,SEARCH(",",$R30,S30+1)),LEN($R30)+1)</f>
        <v>2</v>
      </c>
      <c r="U30" s="5">
        <f t="shared" ref="U30" si="102">IFERROR(IF(T30=LEN($R30)+1,LEN($R30)+1,SEARCH(",",$R30,T30+1)),LEN($R30)+1)</f>
        <v>2</v>
      </c>
      <c r="V30" s="5">
        <f t="shared" ref="V30" si="103">IFERROR(IF(U30=LEN($R30)+1,LEN($R30)+1,SEARCH(",",$R30,U30+1)),LEN($R30)+1)</f>
        <v>2</v>
      </c>
      <c r="W30" s="5">
        <f t="shared" ref="W30" si="104">IFERROR(IF(V30=LEN($R30)+1,LEN($R30)+1,SEARCH(",",$R30,V30+1)),LEN($R30)+1)</f>
        <v>2</v>
      </c>
      <c r="X30" s="5">
        <f t="shared" ref="X30" si="105">IFERROR(IF(W30=LEN($R30)+1,LEN($R30)+1,SEARCH(",",$R30,W30+1)),LEN($R30)+1)</f>
        <v>2</v>
      </c>
      <c r="Y30" s="5">
        <f t="shared" ref="Y30" si="106">IFERROR(IF(X30=LEN($R30)+1,LEN($R30)+1,SEARCH(",",$R30,X30+1)),LEN($R30)+1)</f>
        <v>2</v>
      </c>
      <c r="Z30" s="5">
        <f t="shared" ref="Z30" si="107">IFERROR(IF(Y30=LEN($R30)+1,LEN($R30)+1,SEARCH(",",$R30,Y30+1)),LEN($R30)+1)</f>
        <v>2</v>
      </c>
      <c r="AA30" s="5">
        <f t="shared" ref="AA30" si="108">IFERROR(IF(Z30=LEN($R30)+1,LEN($R30)+1,SEARCH(",",$R30,Z30+1)),LEN($R30)+1)</f>
        <v>2</v>
      </c>
      <c r="AB30" s="5">
        <f t="shared" ref="AB30" si="109">IFERROR(IF(AA30=LEN($R30)+1,LEN($R30)+1,SEARCH(",",$R30,AA30+1)),LEN($R30)+1)</f>
        <v>2</v>
      </c>
      <c r="AC30" s="5">
        <f t="shared" ref="AC30" si="110">IFERROR(IF(AB30=LEN($R30)+1,LEN($R30)+1,SEARCH(",",$R30,AB30+1)),LEN($R30)+1)</f>
        <v>2</v>
      </c>
      <c r="AD30" s="5">
        <f t="shared" ref="AD30" si="111">IFERROR(IF(AC30=LEN($R30)+1,LEN($R30)+1,SEARCH(",",$R30,AC30+1)),LEN($R30)+1)</f>
        <v>2</v>
      </c>
      <c r="AE30" s="5">
        <f t="shared" ref="AE30" si="112">IFERROR(IF(AD30=LEN($R30)+1,LEN($R30)+1,SEARCH(",",$R30,AD30+1)),LEN($R30)+1)</f>
        <v>2</v>
      </c>
      <c r="AF30" s="5">
        <f t="shared" ref="AF30" si="113">IFERROR(IF(AE30=LEN($R30)+1,LEN($R30)+1,SEARCH(",",$R30,AE30+1)),LEN($R30)+1)</f>
        <v>2</v>
      </c>
      <c r="AG30" s="8" t="str">
        <f t="shared" ref="AG30:AT30" si="114">IFERROR(MID($R30,S30+1,T30-S30-1),"")</f>
        <v/>
      </c>
      <c r="AH30" s="5" t="str">
        <f t="shared" si="114"/>
        <v/>
      </c>
      <c r="AI30" s="5" t="str">
        <f t="shared" si="114"/>
        <v/>
      </c>
      <c r="AJ30" s="5" t="str">
        <f t="shared" si="114"/>
        <v/>
      </c>
      <c r="AK30" s="5" t="str">
        <f t="shared" si="114"/>
        <v/>
      </c>
      <c r="AL30" s="5" t="str">
        <f t="shared" si="114"/>
        <v/>
      </c>
      <c r="AM30" s="5" t="str">
        <f t="shared" si="114"/>
        <v/>
      </c>
      <c r="AN30" s="5" t="str">
        <f t="shared" si="114"/>
        <v/>
      </c>
      <c r="AO30" s="5" t="str">
        <f t="shared" si="114"/>
        <v/>
      </c>
      <c r="AP30" s="5" t="str">
        <f t="shared" si="114"/>
        <v/>
      </c>
      <c r="AQ30" s="5" t="str">
        <f t="shared" si="114"/>
        <v/>
      </c>
      <c r="AR30" s="5" t="str">
        <f t="shared" si="114"/>
        <v/>
      </c>
      <c r="AS30" s="5" t="str">
        <f t="shared" si="114"/>
        <v/>
      </c>
      <c r="AT30" s="10" t="str">
        <f t="shared" si="114"/>
        <v/>
      </c>
    </row>
  </sheetData>
  <mergeCells count="27">
    <mergeCell ref="C26:AT27"/>
    <mergeCell ref="C14:AT15"/>
    <mergeCell ref="C28:C29"/>
    <mergeCell ref="D28:Q28"/>
    <mergeCell ref="R28:R29"/>
    <mergeCell ref="S28:AF28"/>
    <mergeCell ref="AG28:AT28"/>
    <mergeCell ref="C20:AF21"/>
    <mergeCell ref="C22:C23"/>
    <mergeCell ref="D22:Q22"/>
    <mergeCell ref="R22:R23"/>
    <mergeCell ref="S22:AF22"/>
    <mergeCell ref="C16:C17"/>
    <mergeCell ref="D16:Q16"/>
    <mergeCell ref="R16:R17"/>
    <mergeCell ref="S16:AF16"/>
    <mergeCell ref="AG16:AT16"/>
    <mergeCell ref="C8:AF9"/>
    <mergeCell ref="D10:Q10"/>
    <mergeCell ref="R10:R11"/>
    <mergeCell ref="S10:AF10"/>
    <mergeCell ref="C10:C11"/>
    <mergeCell ref="D4:Q4"/>
    <mergeCell ref="S4:AF4"/>
    <mergeCell ref="C4:C5"/>
    <mergeCell ref="B2:AF3"/>
    <mergeCell ref="R4:R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67</vt:i4>
      </vt:variant>
    </vt:vector>
  </HeadingPairs>
  <TitlesOfParts>
    <vt:vector size="71" baseType="lpstr">
      <vt:lpstr>Personajes</vt:lpstr>
      <vt:lpstr>Configuracion</vt:lpstr>
      <vt:lpstr>Turnos</vt:lpstr>
      <vt:lpstr>Tablas</vt:lpstr>
      <vt:lpstr>FirstRow</vt:lpstr>
      <vt:lpstr>ListaAliasConf</vt:lpstr>
      <vt:lpstr>ListaAliasTurn</vt:lpstr>
      <vt:lpstr>ListaAtributos</vt:lpstr>
      <vt:lpstr>ListaAtributosConf</vt:lpstr>
      <vt:lpstr>ListaBonoTurnoConf</vt:lpstr>
      <vt:lpstr>ListaBonoTurnoTurn</vt:lpstr>
      <vt:lpstr>ListaBuenaSuerte</vt:lpstr>
      <vt:lpstr>ListaCansancioConf</vt:lpstr>
      <vt:lpstr>ListaCansancioTurn</vt:lpstr>
      <vt:lpstr>ListaCVsConf</vt:lpstr>
      <vt:lpstr>ListaCVsTurn</vt:lpstr>
      <vt:lpstr>ListaDefensaTurn</vt:lpstr>
      <vt:lpstr>ListaDmgOtrosTurn</vt:lpstr>
      <vt:lpstr>ListaKiConf</vt:lpstr>
      <vt:lpstr>ListaKiTurn</vt:lpstr>
      <vt:lpstr>ListaMalaSuerte</vt:lpstr>
      <vt:lpstr>ListaMasaCaidosConf</vt:lpstr>
      <vt:lpstr>ListaMasaTotalConf</vt:lpstr>
      <vt:lpstr>ListaNotasConf</vt:lpstr>
      <vt:lpstr>ListaNotasTurn</vt:lpstr>
      <vt:lpstr>ListaPjs</vt:lpstr>
      <vt:lpstr>ListaPVsConf</vt:lpstr>
      <vt:lpstr>ListaPVsTurn</vt:lpstr>
      <vt:lpstr>ListaResistenciasConf</vt:lpstr>
      <vt:lpstr>ListaResumenTitles</vt:lpstr>
      <vt:lpstr>ListaSecundariasConf</vt:lpstr>
      <vt:lpstr>ListaSorprendido</vt:lpstr>
      <vt:lpstr>ListaSorpresa</vt:lpstr>
      <vt:lpstr>ListaTAConf</vt:lpstr>
      <vt:lpstr>ListaUroboros</vt:lpstr>
      <vt:lpstr>ListaZeonConf</vt:lpstr>
      <vt:lpstr>ListaZeonTurn</vt:lpstr>
      <vt:lpstr>TablaArmasFull</vt:lpstr>
      <vt:lpstr>TablaDmg</vt:lpstr>
      <vt:lpstr>TablaDmgFull</vt:lpstr>
      <vt:lpstr>TablaHA</vt:lpstr>
      <vt:lpstr>TablaHAFull</vt:lpstr>
      <vt:lpstr>TablaHD</vt:lpstr>
      <vt:lpstr>TablaHDFull</vt:lpstr>
      <vt:lpstr>TablaPjs</vt:lpstr>
      <vt:lpstr>TablaPjsResumen</vt:lpstr>
      <vt:lpstr>TablaPjsResumenAlias</vt:lpstr>
      <vt:lpstr>TablaPjsTurnos</vt:lpstr>
      <vt:lpstr>TablaResumen</vt:lpstr>
      <vt:lpstr>TablasArmas</vt:lpstr>
      <vt:lpstr>TablaTurno</vt:lpstr>
      <vt:lpstr>TablaTurnoFull</vt:lpstr>
      <vt:lpstr>TitleAtributos</vt:lpstr>
      <vt:lpstr>TitleCansancio</vt:lpstr>
      <vt:lpstr>TitleCVs</vt:lpstr>
      <vt:lpstr>TitleDamage</vt:lpstr>
      <vt:lpstr>TitleDemage</vt:lpstr>
      <vt:lpstr>TitleHA</vt:lpstr>
      <vt:lpstr>TitleHD</vt:lpstr>
      <vt:lpstr>TitleKi</vt:lpstr>
      <vt:lpstr>TitleName</vt:lpstr>
      <vt:lpstr>TitleNumber</vt:lpstr>
      <vt:lpstr>TitleOriginalName</vt:lpstr>
      <vt:lpstr>TitleOriginalNameCount</vt:lpstr>
      <vt:lpstr>TitlePVs</vt:lpstr>
      <vt:lpstr>TitleResistances</vt:lpstr>
      <vt:lpstr>TitleSecondaries</vt:lpstr>
      <vt:lpstr>TitleTA</vt:lpstr>
      <vt:lpstr>TitleTurn</vt:lpstr>
      <vt:lpstr>TitleVentajas</vt:lpstr>
      <vt:lpstr>TitleZeon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Aspicious</dc:creator>
  <cp:lastModifiedBy>Leira</cp:lastModifiedBy>
  <dcterms:created xsi:type="dcterms:W3CDTF">2023-05-13T09:24:23Z</dcterms:created>
  <dcterms:modified xsi:type="dcterms:W3CDTF">2023-06-24T09:36:14Z</dcterms:modified>
</cp:coreProperties>
</file>